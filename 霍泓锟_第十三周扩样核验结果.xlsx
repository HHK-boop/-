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f302fe16dd4b08" /></Relationships>
</file>

<file path=xl/workbook.xml><?xml version="1.0" encoding="utf-8"?>
<x:workbook xmlns:x="http://schemas.openxmlformats.org/spreadsheetml/2006/main">
  <x:sheets>
    <x:sheet xmlns:r="http://schemas.openxmlformats.org/officeDocument/2006/relationships" name="总览" sheetId="1" r:id="R45daa00197d64820"/>
    <x:sheet xmlns:r="http://schemas.openxmlformats.org/officeDocument/2006/relationships" name="公司进度" sheetId="2" r:id="Rc8d76c5fb9c740f0"/>
    <x:sheet xmlns:r="http://schemas.openxmlformats.org/officeDocument/2006/relationships" name="事件汇总" sheetId="3" r:id="Rcedb4c2427a44495"/>
    <x:sheet xmlns:r="http://schemas.openxmlformats.org/officeDocument/2006/relationships" name="章节定位" sheetId="4" r:id="R53763e9addd44989"/>
    <x:sheet xmlns:r="http://schemas.openxmlformats.org/officeDocument/2006/relationships" name="Auto证据候选" sheetId="5" r:id="R6bb7fdb7a6e74fd0"/>
    <x:sheet xmlns:r="http://schemas.openxmlformats.org/officeDocument/2006/relationships" name="投资主体候选" sheetId="6" r:id="R0031a92f88954d55"/>
    <x:sheet xmlns:r="http://schemas.openxmlformats.org/officeDocument/2006/relationships" name="人工复核队列" sheetId="7" r:id="Rf790ff61e40c4fc6"/>
    <x:sheet xmlns:r="http://schemas.openxmlformats.org/officeDocument/2006/relationships" name="旧新定位对比" sheetId="8" r:id="R645abbd7a05d4fdd"/>
    <x:sheet xmlns:r="http://schemas.openxmlformats.org/officeDocument/2006/relationships" name="数据来源" sheetId="9" r:id="R4105d9980a2d4e00"/>
    <x:sheet xmlns:r="http://schemas.openxmlformats.org/officeDocument/2006/relationships" name="分类规则" sheetId="10" r:id="R4d476e175a1f4556"/>
    <x:sheet xmlns:r="http://schemas.openxmlformats.org/officeDocument/2006/relationships" name="PG披露结果" sheetId="11" r:id="Rc89f7dde598845dd"/>
    <x:sheet xmlns:r="http://schemas.openxmlformats.org/officeDocument/2006/relationships" name="PG表行数" sheetId="12" r:id="R15b18f5d45d142a9"/>
    <x:sheet xmlns:r="http://schemas.openxmlformats.org/officeDocument/2006/relationships" name="质量验证" sheetId="13" r:id="R0e4ccafb594c431c"/>
    <x:sheet xmlns:r="http://schemas.openxmlformats.org/officeDocument/2006/relationships" name="本周执行计划" sheetId="14" r:id="R87fcddd9e54a427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9">
    <x:font>
      <x:sz val="11"/>
      <x:name val="Carlito"/>
    </x:font>
    <x:font>
      <x:b/>
      <x:sz val="16"/>
      <x:color rgb="FF000000"/>
      <x:name val="Microsoft YaHei"/>
    </x:font>
    <x:font>
      <x:i/>
      <x:sz val="10"/>
      <x:color rgb="FF4B5563"/>
      <x:name val="Microsoft YaHei"/>
    </x:font>
    <x:font>
      <x:b/>
      <x:sz val="10"/>
      <x:color rgb="FFFFFFFF"/>
      <x:name val="Microsoft YaHei"/>
    </x:font>
    <x:font>
      <x:sz val="10"/>
      <x:color rgb="FF1F2937"/>
      <x:name val="Microsoft YaHei"/>
    </x:font>
    <x:font>
      <x:b/>
      <x:sz val="11"/>
      <x:color rgb="FF000000"/>
      <x:name val="Microsoft YaHei"/>
    </x:font>
    <x:font>
      <x:b/>
      <x:sz val="9"/>
      <x:color rgb="FF000000"/>
      <x:name val="Microsoft YaHei"/>
    </x:font>
    <x:font>
      <x:sz val="9"/>
      <x:color rgb="FF1F2937"/>
      <x:name val="Microsoft YaHei"/>
    </x:font>
    <x:font>
      <x:b/>
      <x:sz val="14"/>
      <x:color rgb="FF000000"/>
      <x:name val="Microsoft YaHei"/>
    </x:font>
  </x:fonts>
  <x:fills count="5">
    <x:fill>
      <x:patternFill patternType="none"/>
    </x:fill>
    <x:fill>
      <x:patternFill patternType="gray125"/>
    </x:fill>
    <x:fill>
      <x:patternFill patternType="solid">
        <x:fgColor rgb="FF1F4E78"/>
      </x:patternFill>
    </x:fill>
    <x:fill>
      <x:patternFill patternType="solid">
        <x:fgColor rgb="FFDCE6F1"/>
      </x:patternFill>
    </x:fill>
    <x:fill>
      <x:patternFill patternType="solid">
        <x:fgColor rgb="FFF4F7FA"/>
      </x:patternFill>
    </x:fill>
  </x:fills>
  <x:borders count="6">
    <x:border/>
    <x:border>
      <x:bottom style="thin">
        <x:color rgb="FF1F4E78"/>
      </x:bottom>
    </x:border>
    <x:border>
      <x:left style="thin">
        <x:color rgb="FFFFFFFF"/>
      </x:left>
      <x:right style="thin">
        <x:color rgb="FFFFFFFF"/>
      </x:right>
      <x:top style="thin">
        <x:color rgb="FFFFFFFF"/>
      </x:top>
      <x:bottom style="thin">
        <x:color rgb="FFFFFFFF"/>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34">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horizontal="center"/>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200" fontId="4" fillId="0" borderId="4" xfId="0" applyNumberFormat="1" applyFont="1" applyFill="1" applyBorder="1" applyAlignment="1">
      <x:alignment vertical="center"/>
    </x:xf>
    <x:xf numFmtId="0" fontId="0" fillId="3" borderId="0" xfId="0" applyNumberFormat="1" applyFont="1" applyFill="1" applyBorder="1"/>
    <x:xf numFmtId="0" fontId="5"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6" fillId="3" borderId="0" xfId="0" applyNumberFormat="1" applyFont="1" applyFill="1" applyBorder="1"/>
    <x:xf numFmtId="0" fontId="7" fillId="0" borderId="0"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5" xfId="0" applyNumberFormat="1" applyFont="1" applyFill="1" applyBorder="1"/>
    <x:xf numFmtId="200" fontId="7" fillId="0" borderId="4" xfId="0" applyNumberFormat="1" applyFont="1" applyFill="1" applyBorder="1"/>
    <x:xf numFmtId="0" fontId="8" fillId="0" borderId="0" xfId="0" applyNumberFormat="1" applyFont="1" applyFill="1" applyBorder="1"/>
    <x:xf numFmtId="0" fontId="4" fillId="2" borderId="0" xfId="0" applyNumberFormat="1" applyFont="1" applyFill="1" applyBorder="1"/>
    <x:xf numFmtId="0" fontId="3" fillId="2" borderId="2"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4" fillId="0" borderId="0" xfId="0" applyNumberFormat="1" applyFont="1" applyFill="1" applyBorder="1" applyAlignment="1">
      <x:alignment vertical="center"/>
    </x:xf>
    <x:xf numFmtId="0" fontId="0" fillId="0" borderId="0" xfId="0" applyNumberFormat="1" applyFont="1" applyFill="1" applyBorder="1" applyAlignment="1">
      <x:alignment wrapText="1"/>
    </x:xf>
    <x:xf numFmtId="200" fontId="4" fillId="0" borderId="3"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68b316b368470a" /><Relationship Type="http://schemas.openxmlformats.org/officeDocument/2006/relationships/theme" Target="/xl/theme/theme1.xml" Id="R7247b5e1d0744bc9" /><Relationship Type="http://schemas.openxmlformats.org/officeDocument/2006/relationships/sharedStrings" Target="/xl/sharedStrings.xml" Id="Ra8962564c9694212" /><Relationship Type="http://schemas.openxmlformats.org/officeDocument/2006/relationships/worksheet" Target="/xl/worksheets/sheet1.xml" Id="R45daa00197d64820" /><Relationship Type="http://schemas.openxmlformats.org/officeDocument/2006/relationships/worksheet" Target="/xl/worksheets/sheet2.xml" Id="Rc8d76c5fb9c740f0" /><Relationship Type="http://schemas.openxmlformats.org/officeDocument/2006/relationships/worksheet" Target="/xl/worksheets/sheet3.xml" Id="Rcedb4c2427a44495" /><Relationship Type="http://schemas.openxmlformats.org/officeDocument/2006/relationships/worksheet" Target="/xl/worksheets/sheet4.xml" Id="R53763e9addd44989" /><Relationship Type="http://schemas.openxmlformats.org/officeDocument/2006/relationships/worksheet" Target="/xl/worksheets/sheet5.xml" Id="R6bb7fdb7a6e74fd0" /><Relationship Type="http://schemas.openxmlformats.org/officeDocument/2006/relationships/worksheet" Target="/xl/worksheets/sheet6.xml" Id="R0031a92f88954d55" /><Relationship Type="http://schemas.openxmlformats.org/officeDocument/2006/relationships/worksheet" Target="/xl/worksheets/sheet7.xml" Id="Rf790ff61e40c4fc6" /><Relationship Type="http://schemas.openxmlformats.org/officeDocument/2006/relationships/worksheet" Target="/xl/worksheets/sheet8.xml" Id="R645abbd7a05d4fdd" /><Relationship Type="http://schemas.openxmlformats.org/officeDocument/2006/relationships/worksheet" Target="/xl/worksheets/sheet9.xml" Id="R4105d9980a2d4e00" /><Relationship Type="http://schemas.openxmlformats.org/officeDocument/2006/relationships/worksheet" Target="/xl/worksheets/sheet10.xml" Id="R4d476e175a1f4556" /><Relationship Type="http://schemas.openxmlformats.org/officeDocument/2006/relationships/worksheet" Target="/xl/worksheets/sheet11.xml" Id="Rc89f7dde598845dd" /><Relationship Type="http://schemas.openxmlformats.org/officeDocument/2006/relationships/worksheet" Target="/xl/worksheets/sheet12.xml" Id="R15b18f5d45d142a9" /><Relationship Type="http://schemas.openxmlformats.org/officeDocument/2006/relationships/worksheet" Target="/xl/worksheets/sheet13.xml" Id="R0e4ccafb594c431c" /><Relationship Type="http://schemas.openxmlformats.org/officeDocument/2006/relationships/worksheet" Target="/xl/worksheets/sheet14.xml" Id="R87fcddd9e54a427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30" hidden="0" customWidth="1"/>
    <x:col min="2" max="2" width="18" hidden="0" customWidth="1"/>
    <x:col min="3" max="3" width="60" hidden="0" customWidth="1"/>
    <x:col min="5" max="5" width="24" hidden="0" customWidth="1"/>
    <x:col min="6" max="6" width="16" hidden="0" customWidth="1"/>
    <x:col min="7" max="7" width="16" hidden="0" customWidth="1"/>
    <x:col min="8" max="8" width="16" hidden="0" customWidth="1"/>
    <x:col min="10" max="10" width="18" hidden="0" customWidth="1"/>
    <x:col min="11" max="11" width="42" hidden="0" customWidth="1"/>
  </x:cols>
  <x:sheetData>
    <x:row r="2">
      <x:c r="A2" s="1" t="str">
        <x:v>霍泓锟第十三周扩样核验结果</x:v>
      </x:c>
    </x:row>
    <x:row r="3">
      <x:c r="A3" s="2" t="str">
        <x:v>首批12家北交所公司 从页码化文本独立定位Auto候选并生成复核队列</x:v>
      </x:c>
    </x:row>
    <x:row r="4">
      <x:c r="A4" s="3"/>
      <x:c r="B4" s="3"/>
      <x:c r="C4" s="3"/>
      <x:c r="D4" s="3"/>
      <x:c r="E4" s="3"/>
      <x:c r="F4" s="3"/>
      <x:c r="G4" s="3"/>
      <x:c r="H4" s="3"/>
    </x:row>
    <x:row r="6">
      <x:c r="A6" s="7" t="str">
        <x:v>指标</x:v>
      </x:c>
      <x:c r="B6" s="7" t="str">
        <x:v>结果</x:v>
      </x:c>
      <x:c r="C6" s="7" t="str">
        <x:v>解释</x:v>
      </x:c>
      <x:c r="E6" s="7" t="str">
        <x:v>事件类型</x:v>
      </x:c>
      <x:c r="F6" s="7" t="str">
        <x:v>候选记录</x:v>
      </x:c>
      <x:c r="G6" s="7" t="str">
        <x:v>覆盖公司</x:v>
      </x:c>
      <x:c r="H6" s="7" t="str">
        <x:v>高置信记录</x:v>
      </x:c>
      <x:c r="J6" s="20" t="str">
        <x:v>计算基础</x:v>
      </x:c>
      <x:c r="K6" s="20" t="str">
        <x:v>来源</x:v>
      </x:c>
    </x:row>
    <x:row r="7">
      <x:c r="A7" s="11" t="str">
        <x:v>扩样公司</x:v>
      </x:c>
      <x:c r="B7" s="11" t="n">
        <x:f>J7</x:f>
        <x:v>12</x:v>
      </x:c>
      <x:c r="C7" s="11" t="str">
        <x:v>第十二周P1队列中关键词命中排名前12</x:v>
      </x:c>
      <x:c r="E7" s="11" t="str">
        <x:v>增资认缴</x:v>
      </x:c>
      <x:c r="F7" s="11" t="n">
        <x:v>63</x:v>
      </x:c>
      <x:c r="G7" s="11" t="n">
        <x:v>11</x:v>
      </x:c>
      <x:c r="H7" s="11" t="n">
        <x:v>7</x:v>
      </x:c>
      <x:c r="J7" s="22" t="n">
        <x:v>12</x:v>
      </x:c>
      <x:c r="K7" s="22" t="str">
        <x:v>selected_company_count</x:v>
      </x:c>
    </x:row>
    <x:row r="8">
      <x:c r="A8" s="12" t="str">
        <x:v>页码化文本页数</x:v>
      </x:c>
      <x:c r="B8" s="12" t="n">
        <x:f>J8</x:f>
        <x:v>2160</x:v>
      </x:c>
      <x:c r="C8" s="12" t="str">
        <x:v>每家公司保留180页页码化文本</x:v>
      </x:c>
      <x:c r="E8" s="12" t="str">
        <x:v>股权转让</x:v>
      </x:c>
      <x:c r="F8" s="12" t="n">
        <x:v>70</x:v>
      </x:c>
      <x:c r="G8" s="12" t="n">
        <x:v>12</x:v>
      </x:c>
      <x:c r="H8" s="12" t="n">
        <x:v>5</x:v>
      </x:c>
      <x:c r="J8" s="23" t="n">
        <x:v>2160</x:v>
      </x:c>
      <x:c r="K8" s="23" t="str">
        <x:v>source_page_count</x:v>
      </x:c>
    </x:row>
    <x:row r="9">
      <x:c r="A9" s="12" t="str">
        <x:v>Auto候选</x:v>
      </x:c>
      <x:c r="B9" s="12" t="n">
        <x:f>J9</x:f>
        <x:v>301</x:v>
      </x:c>
      <x:c r="C9" s="12" t="str">
        <x:v>含保留和规则排除记录</x:v>
      </x:c>
      <x:c r="E9" s="12" t="str">
        <x:v>股权快照</x:v>
      </x:c>
      <x:c r="F9" s="12" t="n">
        <x:v>85</x:v>
      </x:c>
      <x:c r="G9" s="12" t="n">
        <x:v>12</x:v>
      </x:c>
      <x:c r="H9" s="12" t="n">
        <x:v>11</x:v>
      </x:c>
      <x:c r="J9" s="23" t="n">
        <x:v>301</x:v>
      </x:c>
      <x:c r="K9" s="23" t="str">
        <x:v>auto_candidate_record_count</x:v>
      </x:c>
    </x:row>
    <x:row r="10">
      <x:c r="A10" s="12" t="str">
        <x:v>保留候选</x:v>
      </x:c>
      <x:c r="B10" s="12" t="n">
        <x:f>J10</x:f>
        <x:v>275</x:v>
      </x:c>
      <x:c r="C10" s="12" t="str">
        <x:v>仍需人工核对后进入Gold</x:v>
      </x:c>
      <x:c r="E10" s="12" t="str">
        <x:v>基金备案</x:v>
      </x:c>
      <x:c r="F10" s="12" t="n">
        <x:v>19</x:v>
      </x:c>
      <x:c r="G10" s="12" t="n">
        <x:v>8</x:v>
      </x:c>
      <x:c r="H10" s="12" t="n">
        <x:v>6</x:v>
      </x:c>
      <x:c r="J10" s="23" t="n">
        <x:v>275</x:v>
      </x:c>
      <x:c r="K10" s="23" t="str">
        <x:v>retained_candidate_record_count</x:v>
      </x:c>
    </x:row>
    <x:row r="11">
      <x:c r="A11" s="12" t="str">
        <x:v>转让系统误命中排除</x:v>
      </x:c>
      <x:c r="B11" s="12" t="n">
        <x:f>J11</x:f>
        <x:v>26</x:v>
      </x:c>
      <x:c r="C11" s="12" t="str">
        <x:v>没有明确交易主体的公开转让语境</x:v>
      </x:c>
      <x:c r="E11" s="12" t="str">
        <x:v>特殊投资条款</x:v>
      </x:c>
      <x:c r="F11" s="12" t="n">
        <x:v>38</x:v>
      </x:c>
      <x:c r="G11" s="12" t="n">
        <x:v>12</x:v>
      </x:c>
      <x:c r="H11" s="12" t="n">
        <x:v>4</x:v>
      </x:c>
      <x:c r="J11" s="23" t="n">
        <x:v>26</x:v>
      </x:c>
      <x:c r="K11" s="23" t="str">
        <x:v>excluded_transfer_boilerplate_count</x:v>
      </x:c>
    </x:row>
    <x:row r="12">
      <x:c r="A12" s="12" t="str">
        <x:v>去重投资主体候选</x:v>
      </x:c>
      <x:c r="B12" s="12" t="n">
        <x:f>J12</x:f>
        <x:v>52</x:v>
      </x:c>
      <x:c r="C12" s="12" t="str">
        <x:v>名称与类型均为候选，深度字段留空</x:v>
      </x:c>
      <x:c r="J12" s="23" t="n">
        <x:v>52</x:v>
      </x:c>
      <x:c r="K12" s="23" t="str">
        <x:v>unique_investor_candidate_count</x:v>
      </x:c>
    </x:row>
    <x:row r="13">
      <x:c r="A13" s="12" t="str">
        <x:v>人工复核队列</x:v>
      </x:c>
      <x:c r="B13" s="12" t="n">
        <x:f>J13</x:f>
        <x:v>28</x:v>
      </x:c>
      <x:c r="C13" s="12" t="str">
        <x:v>低/中置信及转让、备案候选优先</x:v>
      </x:c>
      <x:c r="E13" s="15" t="str">
        <x:v>使用边界</x:v>
      </x:c>
      <x:c r="J13" s="23" t="n">
        <x:v>28</x:v>
      </x:c>
      <x:c r="K13" s="23" t="str">
        <x:v>manual_review_queue_count</x:v>
      </x:c>
    </x:row>
    <x:row r="14">
      <x:c r="A14" s="12" t="str">
        <x:v>旧定位页平均找回率</x:v>
      </x:c>
      <x:c r="B14" s="13" t="n">
        <x:f>J14</x:f>
        <x:v>0.7708</x:v>
      </x:c>
      <x:c r="C14" s="12" t="str">
        <x:v>定位一致性，不是Gold准确率</x:v>
      </x:c>
      <x:c r="E14" s="19" t="str">
        <x:v>本工作簿展示Auto定位和候选结果。备案编码、GP、LP结构未由招股书明确披露时保持空值；投资主体类型和事件记录需回原文页人工确认后才能进入Gold/Final。</x:v>
      </x:c>
      <x:c r="F14" s="19"/>
      <x:c r="G14" s="19"/>
      <x:c r="H14" s="19"/>
      <x:c r="J14" s="25" t="n">
        <x:v>0.7708</x:v>
      </x:c>
      <x:c r="K14" s="23" t="str">
        <x:v>old_candidate_average_page_recovery_rate</x:v>
      </x:c>
    </x:row>
    <x:row r="15">
      <x:c r="A15" s="12" t="str">
        <x:v>PostgreSQL导入行数</x:v>
      </x:c>
      <x:c r="B15" s="12" t="n">
        <x:f>J15</x:f>
        <x:v>492</x:v>
      </x:c>
      <x:c r="C15" s="12" t="str">
        <x:v>临时PostgreSQL 11张表合计</x:v>
      </x:c>
      <x:c r="E15" s="19"/>
      <x:c r="F15" s="19"/>
      <x:c r="G15" s="19"/>
      <x:c r="H15" s="19"/>
      <x:c r="J15" s="24" t="n">
        <x:v>492</x:v>
      </x:c>
      <x:c r="K15" s="24" t="str">
        <x:v>PostgreSQL table count sum</x:v>
      </x:c>
    </x:row>
    <x:row r="16">
      <x:c r="E16" s="19"/>
      <x:c r="F16" s="19"/>
      <x:c r="G16" s="19"/>
      <x:c r="H16" s="19"/>
    </x:row>
  </x:sheetData>
  <x:mergeCells>
    <x:mergeCell ref="A2:H2"/>
    <x:mergeCell ref="A3:H3"/>
    <x:mergeCell ref="E13:H13"/>
    <x:mergeCell ref="E14:H16"/>
  </x:mergeCells>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xSplit="2" ySplit="5" topLeftCell="C6"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42" hidden="0" customWidth="1"/>
  </x:cols>
  <x:sheetData>
    <x:row r="1">
      <x:c r="I1" s="32"/>
    </x:row>
    <x:row r="2">
      <x:c r="A2" s="26" t="str">
        <x:v>12家公司处理进度</x:v>
      </x:c>
    </x:row>
    <x:row r="3">
      <x:c r="A3" s="3"/>
      <x:c r="B3" s="3"/>
      <x:c r="C3" s="3"/>
      <x:c r="D3" s="3"/>
      <x:c r="E3" s="3"/>
      <x:c r="F3" s="3"/>
      <x:c r="G3" s="3"/>
      <x:c r="H3" s="3"/>
      <x:c r="I3" s="3"/>
    </x:row>
    <x:row r="5">
      <x:c r="A5" s="30" t="str">
        <x:v>股票代码</x:v>
      </x:c>
      <x:c r="B5" s="30" t="str">
        <x:v>公司简称</x:v>
      </x:c>
      <x:c r="C5" s="30" t="str">
        <x:v>文本页数</x:v>
      </x:c>
      <x:c r="D5" s="30" t="str">
        <x:v>定位章节组</x:v>
      </x:c>
      <x:c r="E5" s="30" t="str">
        <x:v>保留候选</x:v>
      </x:c>
      <x:c r="F5" s="30" t="str">
        <x:v>排除误命中</x:v>
      </x:c>
      <x:c r="G5" s="30" t="str">
        <x:v>主体原始候选</x:v>
      </x:c>
      <x:c r="H5" s="30" t="str">
        <x:v>高置信候选</x:v>
      </x:c>
      <x:c r="I5" s="30" t="str">
        <x:v>处理状态</x:v>
      </x:c>
    </x:row>
    <x:row r="6" ht="22" customHeight="1">
      <x:c r="A6" s="11" t="str">
        <x:v>920123</x:v>
      </x:c>
      <x:c r="B6" s="11" t="str">
        <x:v>芭薇股份</x:v>
      </x:c>
      <x:c r="C6" s="11" t="n">
        <x:v>180</x:v>
      </x:c>
      <x:c r="D6" s="11" t="n">
        <x:v>4</x:v>
      </x:c>
      <x:c r="E6" s="11" t="n">
        <x:v>28</x:v>
      </x:c>
      <x:c r="F6" s="11" t="n">
        <x:v>2</x:v>
      </x:c>
      <x:c r="G6" s="11" t="n">
        <x:v>14</x:v>
      </x:c>
      <x:c r="H6" s="11" t="n">
        <x:v>5</x:v>
      </x:c>
      <x:c r="I6" s="11" t="str">
        <x:v>Auto定位完成，进入人工Gold复核队列</x:v>
      </x:c>
    </x:row>
    <x:row r="7" ht="22" customHeight="1">
      <x:c r="A7" s="12" t="str">
        <x:v>920575</x:v>
      </x:c>
      <x:c r="B7" s="12" t="str">
        <x:v>*ST康乐</x:v>
      </x:c>
      <x:c r="C7" s="12" t="n">
        <x:v>180</x:v>
      </x:c>
      <x:c r="D7" s="12" t="n">
        <x:v>4</x:v>
      </x:c>
      <x:c r="E7" s="12" t="n">
        <x:v>26</x:v>
      </x:c>
      <x:c r="F7" s="12" t="n">
        <x:v>2</x:v>
      </x:c>
      <x:c r="G7" s="12" t="n">
        <x:v>4</x:v>
      </x:c>
      <x:c r="H7" s="12" t="n">
        <x:v>1</x:v>
      </x:c>
      <x:c r="I7" s="12" t="str">
        <x:v>Auto定位完成，进入人工Gold复核队列</x:v>
      </x:c>
    </x:row>
    <x:row r="8" ht="22" customHeight="1">
      <x:c r="A8" s="12" t="str">
        <x:v>920719</x:v>
      </x:c>
      <x:c r="B8" s="12" t="str">
        <x:v>宁新新材</x:v>
      </x:c>
      <x:c r="C8" s="12" t="n">
        <x:v>180</x:v>
      </x:c>
      <x:c r="D8" s="12" t="n">
        <x:v>4</x:v>
      </x:c>
      <x:c r="E8" s="12" t="n">
        <x:v>22</x:v>
      </x:c>
      <x:c r="F8" s="12" t="n">
        <x:v>4</x:v>
      </x:c>
      <x:c r="G8" s="12" t="n">
        <x:v>7</x:v>
      </x:c>
      <x:c r="H8" s="12" t="n">
        <x:v>4</x:v>
      </x:c>
      <x:c r="I8" s="12" t="str">
        <x:v>Auto定位完成，进入人工Gold复核队列</x:v>
      </x:c>
    </x:row>
    <x:row r="9" ht="22" customHeight="1">
      <x:c r="A9" s="12" t="str">
        <x:v>920522</x:v>
      </x:c>
      <x:c r="B9" s="12" t="str">
        <x:v>纳科诺尔</x:v>
      </x:c>
      <x:c r="C9" s="12" t="n">
        <x:v>180</x:v>
      </x:c>
      <x:c r="D9" s="12" t="n">
        <x:v>4</x:v>
      </x:c>
      <x:c r="E9" s="12" t="n">
        <x:v>25</x:v>
      </x:c>
      <x:c r="F9" s="12" t="n">
        <x:v>1</x:v>
      </x:c>
      <x:c r="G9" s="12" t="n">
        <x:v>7</x:v>
      </x:c>
      <x:c r="H9" s="12" t="n">
        <x:v>3</x:v>
      </x:c>
      <x:c r="I9" s="12" t="str">
        <x:v>Auto定位完成，进入人工Gold复核队列</x:v>
      </x:c>
    </x:row>
    <x:row r="10" ht="22" customHeight="1">
      <x:c r="A10" s="12" t="str">
        <x:v>920099</x:v>
      </x:c>
      <x:c r="B10" s="12" t="str">
        <x:v>瑞华技术</x:v>
      </x:c>
      <x:c r="C10" s="12" t="n">
        <x:v>180</x:v>
      </x:c>
      <x:c r="D10" s="12" t="n">
        <x:v>4</x:v>
      </x:c>
      <x:c r="E10" s="12" t="n">
        <x:v>19</x:v>
      </x:c>
      <x:c r="F10" s="12" t="n">
        <x:v>2</x:v>
      </x:c>
      <x:c r="G10" s="12" t="n">
        <x:v>19</x:v>
      </x:c>
      <x:c r="H10" s="12" t="n">
        <x:v>3</x:v>
      </x:c>
      <x:c r="I10" s="12" t="str">
        <x:v>Auto定位完成，进入人工Gold复核队列</x:v>
      </x:c>
    </x:row>
    <x:row r="11" ht="22" customHeight="1">
      <x:c r="A11" s="12" t="str">
        <x:v>920118</x:v>
      </x:c>
      <x:c r="B11" s="12" t="str">
        <x:v>太湖远大</x:v>
      </x:c>
      <x:c r="C11" s="12" t="n">
        <x:v>180</x:v>
      </x:c>
      <x:c r="D11" s="12" t="n">
        <x:v>4</x:v>
      </x:c>
      <x:c r="E11" s="12" t="n">
        <x:v>21</x:v>
      </x:c>
      <x:c r="F11" s="12" t="n">
        <x:v>3</x:v>
      </x:c>
      <x:c r="G11" s="12" t="n">
        <x:v>19</x:v>
      </x:c>
      <x:c r="H11" s="12" t="n">
        <x:v>4</x:v>
      </x:c>
      <x:c r="I11" s="12" t="str">
        <x:v>Auto定位完成，进入人工Gold复核队列</x:v>
      </x:c>
    </x:row>
    <x:row r="12" ht="22" customHeight="1">
      <x:c r="A12" s="12" t="str">
        <x:v>920249</x:v>
      </x:c>
      <x:c r="B12" s="12" t="str">
        <x:v>利尔达</x:v>
      </x:c>
      <x:c r="C12" s="12" t="n">
        <x:v>180</x:v>
      </x:c>
      <x:c r="D12" s="12" t="n">
        <x:v>4</x:v>
      </x:c>
      <x:c r="E12" s="12" t="n">
        <x:v>30</x:v>
      </x:c>
      <x:c r="F12" s="12" t="n">
        <x:v>0</x:v>
      </x:c>
      <x:c r="G12" s="12" t="n">
        <x:v>4</x:v>
      </x:c>
      <x:c r="H12" s="12" t="n">
        <x:v>1</x:v>
      </x:c>
      <x:c r="I12" s="12" t="str">
        <x:v>Auto定位完成，进入人工Gold复核队列</x:v>
      </x:c>
    </x:row>
    <x:row r="13" ht="22" customHeight="1">
      <x:c r="A13" s="12" t="str">
        <x:v>920438</x:v>
      </x:c>
      <x:c r="B13" s="12" t="str">
        <x:v>戈碧迦</x:v>
      </x:c>
      <x:c r="C13" s="12" t="n">
        <x:v>180</x:v>
      </x:c>
      <x:c r="D13" s="12" t="n">
        <x:v>4</x:v>
      </x:c>
      <x:c r="E13" s="12" t="n">
        <x:v>17</x:v>
      </x:c>
      <x:c r="F13" s="12" t="n">
        <x:v>2</x:v>
      </x:c>
      <x:c r="G13" s="12" t="n">
        <x:v>11</x:v>
      </x:c>
      <x:c r="H13" s="12" t="n">
        <x:v>2</x:v>
      </x:c>
      <x:c r="I13" s="12" t="str">
        <x:v>Auto定位完成，进入人工Gold复核队列</x:v>
      </x:c>
    </x:row>
    <x:row r="14" ht="22" customHeight="1">
      <x:c r="A14" s="12" t="str">
        <x:v>920016</x:v>
      </x:c>
      <x:c r="B14" s="12" t="str">
        <x:v>中草香料</x:v>
      </x:c>
      <x:c r="C14" s="12" t="n">
        <x:v>180</x:v>
      </x:c>
      <x:c r="D14" s="12" t="n">
        <x:v>4</x:v>
      </x:c>
      <x:c r="E14" s="12" t="n">
        <x:v>28</x:v>
      </x:c>
      <x:c r="F14" s="12" t="n">
        <x:v>2</x:v>
      </x:c>
      <x:c r="G14" s="12" t="n">
        <x:v>23</x:v>
      </x:c>
      <x:c r="H14" s="12" t="n">
        <x:v>7</x:v>
      </x:c>
      <x:c r="I14" s="12" t="str">
        <x:v>Auto定位完成，进入人工Gold复核队列</x:v>
      </x:c>
    </x:row>
    <x:row r="15" ht="22" customHeight="1">
      <x:c r="A15" s="12" t="str">
        <x:v>920304</x:v>
      </x:c>
      <x:c r="B15" s="12" t="str">
        <x:v>迪尔化工</x:v>
      </x:c>
      <x:c r="C15" s="12" t="n">
        <x:v>180</x:v>
      </x:c>
      <x:c r="D15" s="12" t="n">
        <x:v>3</x:v>
      </x:c>
      <x:c r="E15" s="12" t="n">
        <x:v>23</x:v>
      </x:c>
      <x:c r="F15" s="12" t="n">
        <x:v>3</x:v>
      </x:c>
      <x:c r="G15" s="12" t="n">
        <x:v>9</x:v>
      </x:c>
      <x:c r="H15" s="12" t="n">
        <x:v>1</x:v>
      </x:c>
      <x:c r="I15" s="12" t="str">
        <x:v>Auto定位完成，进入人工Gold复核队列</x:v>
      </x:c>
    </x:row>
    <x:row r="16" ht="22" customHeight="1">
      <x:c r="A16" s="12" t="str">
        <x:v>920008</x:v>
      </x:c>
      <x:c r="B16" s="12" t="str">
        <x:v>成电光信</x:v>
      </x:c>
      <x:c r="C16" s="12" t="n">
        <x:v>180</x:v>
      </x:c>
      <x:c r="D16" s="12" t="n">
        <x:v>4</x:v>
      </x:c>
      <x:c r="E16" s="12" t="n">
        <x:v>17</x:v>
      </x:c>
      <x:c r="F16" s="12" t="n">
        <x:v>1</x:v>
      </x:c>
      <x:c r="G16" s="12" t="n">
        <x:v>6</x:v>
      </x:c>
      <x:c r="H16" s="12" t="n">
        <x:v>2</x:v>
      </x:c>
      <x:c r="I16" s="12" t="str">
        <x:v>Auto定位完成，进入人工Gold复核队列</x:v>
      </x:c>
    </x:row>
    <x:row r="17" ht="22" customHeight="1">
      <x:c r="A17" s="12" t="str">
        <x:v>920950</x:v>
      </x:c>
      <x:c r="B17" s="12" t="str">
        <x:v>迅安科技</x:v>
      </x:c>
      <x:c r="C17" s="12" t="n">
        <x:v>180</x:v>
      </x:c>
      <x:c r="D17" s="12" t="n">
        <x:v>4</x:v>
      </x:c>
      <x:c r="E17" s="12" t="n">
        <x:v>19</x:v>
      </x:c>
      <x:c r="F17" s="12" t="n">
        <x:v>4</x:v>
      </x:c>
      <x:c r="G17" s="12" t="n">
        <x:v>2</x:v>
      </x:c>
      <x:c r="H17" s="12" t="n">
        <x:v>0</x:v>
      </x:c>
      <x:c r="I17" s="12" t="str">
        <x:v>Auto定位完成，进入人工Gold复核队列</x:v>
      </x:c>
    </x:row>
  </x:sheetData>
  <x:mergeCells>
    <x:mergeCell ref="A2:I2"/>
  </x:mergeCells>
  <x:pageMargins left="0.7" right="0.7" top="0.75" bottom="0.75" header="0.3" footer="0.3"/>
</x:worksheet>
</file>

<file path=xl/worksheets/sheet3.xml><?xml version="1.0" encoding="utf-8"?>
<x:worksheet xmlns:x="http://schemas.openxmlformats.org/spreadsheetml/2006/main">
  <x:sheetPr>
    <x:tabColor rgb="FF9FBAD0"/>
  </x:sheetPr>
  <x:sheetViews>
    <x:sheetView showGridLines="0" workbookViewId="0">
      <x:pane ySplit="5" topLeftCell="A6"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58" hidden="0" customWidth="1"/>
  </x:cols>
  <x:sheetData>
    <x:row r="1">
      <x:c r="H1" s="32"/>
    </x:row>
    <x:row r="2">
      <x:c r="A2" s="26" t="str">
        <x:v>Auto事件候选汇总</x:v>
      </x:c>
    </x:row>
    <x:row r="3">
      <x:c r="A3" s="3"/>
      <x:c r="B3" s="3"/>
      <x:c r="C3" s="3"/>
      <x:c r="D3" s="3"/>
      <x:c r="E3" s="3"/>
      <x:c r="F3" s="3"/>
      <x:c r="G3" s="3"/>
      <x:c r="H3" s="3"/>
    </x:row>
    <x:row r="5">
      <x:c r="A5" s="30" t="str">
        <x:v>事件代码</x:v>
      </x:c>
      <x:c r="B5" s="30" t="str">
        <x:v>事件类型</x:v>
      </x:c>
      <x:c r="C5" s="30" t="str">
        <x:v>候选记录</x:v>
      </x:c>
      <x:c r="D5" s="30" t="str">
        <x:v>覆盖公司</x:v>
      </x:c>
      <x:c r="E5" s="30" t="str">
        <x:v>高置信记录</x:v>
      </x:c>
      <x:c r="F5" s="30" t="str">
        <x:v>含日期</x:v>
      </x:c>
      <x:c r="G5" s="30" t="str">
        <x:v>含金额或股数</x:v>
      </x:c>
      <x:c r="H5" s="30" t="str">
        <x:v>使用说明</x:v>
      </x:c>
    </x:row>
    <x:row r="6" ht="22" customHeight="1">
      <x:c r="A6" s="11" t="str">
        <x:v>capital_increase</x:v>
      </x:c>
      <x:c r="B6" s="11" t="str">
        <x:v>增资认缴</x:v>
      </x:c>
      <x:c r="C6" s="11" t="n">
        <x:v>63</x:v>
      </x:c>
      <x:c r="D6" s="11" t="n">
        <x:v>11</x:v>
      </x:c>
      <x:c r="E6" s="11" t="n">
        <x:v>7</x:v>
      </x:c>
      <x:c r="F6" s="11" t="n">
        <x:v>37</x:v>
      </x:c>
      <x:c r="G6" s="11" t="n">
        <x:v>33</x:v>
      </x:c>
      <x:c r="H6" s="11" t="str">
        <x:v>Auto候选数量，需人工回原文确认后才能进入Gold/Final</x:v>
      </x:c>
    </x:row>
    <x:row r="7" ht="22" customHeight="1">
      <x:c r="A7" s="12" t="str">
        <x:v>equity_transfer</x:v>
      </x:c>
      <x:c r="B7" s="12" t="str">
        <x:v>股权转让</x:v>
      </x:c>
      <x:c r="C7" s="12" t="n">
        <x:v>70</x:v>
      </x:c>
      <x:c r="D7" s="12" t="n">
        <x:v>12</x:v>
      </x:c>
      <x:c r="E7" s="12" t="n">
        <x:v>5</x:v>
      </x:c>
      <x:c r="F7" s="12" t="n">
        <x:v>48</x:v>
      </x:c>
      <x:c r="G7" s="12" t="n">
        <x:v>25</x:v>
      </x:c>
      <x:c r="H7" s="12" t="str">
        <x:v>Auto候选数量，需人工回原文确认后才能进入Gold/Final</x:v>
      </x:c>
    </x:row>
    <x:row r="8" ht="22" customHeight="1">
      <x:c r="A8" s="12" t="str">
        <x:v>equity_snapshot</x:v>
      </x:c>
      <x:c r="B8" s="12" t="str">
        <x:v>股权快照</x:v>
      </x:c>
      <x:c r="C8" s="12" t="n">
        <x:v>85</x:v>
      </x:c>
      <x:c r="D8" s="12" t="n">
        <x:v>12</x:v>
      </x:c>
      <x:c r="E8" s="12" t="n">
        <x:v>11</x:v>
      </x:c>
      <x:c r="F8" s="12" t="n">
        <x:v>41</x:v>
      </x:c>
      <x:c r="G8" s="12" t="n">
        <x:v>47</x:v>
      </x:c>
      <x:c r="H8" s="12" t="str">
        <x:v>Auto候选数量，需人工回原文确认后才能进入Gold/Final</x:v>
      </x:c>
    </x:row>
    <x:row r="9" ht="22" customHeight="1">
      <x:c r="A9" s="12" t="str">
        <x:v>fund_filing</x:v>
      </x:c>
      <x:c r="B9" s="12" t="str">
        <x:v>基金备案</x:v>
      </x:c>
      <x:c r="C9" s="12" t="n">
        <x:v>19</x:v>
      </x:c>
      <x:c r="D9" s="12" t="n">
        <x:v>8</x:v>
      </x:c>
      <x:c r="E9" s="12" t="n">
        <x:v>6</x:v>
      </x:c>
      <x:c r="F9" s="12" t="n">
        <x:v>13</x:v>
      </x:c>
      <x:c r="G9" s="12" t="n">
        <x:v>8</x:v>
      </x:c>
      <x:c r="H9" s="12" t="str">
        <x:v>Auto候选数量，需人工回原文确认后才能进入Gold/Final</x:v>
      </x:c>
    </x:row>
    <x:row r="10" ht="22" customHeight="1">
      <x:c r="A10" s="12" t="str">
        <x:v>special_rights</x:v>
      </x:c>
      <x:c r="B10" s="12" t="str">
        <x:v>特殊投资条款</x:v>
      </x:c>
      <x:c r="C10" s="12" t="n">
        <x:v>38</x:v>
      </x:c>
      <x:c r="D10" s="12" t="n">
        <x:v>12</x:v>
      </x:c>
      <x:c r="E10" s="12" t="n">
        <x:v>4</x:v>
      </x:c>
      <x:c r="F10" s="12" t="n">
        <x:v>31</x:v>
      </x:c>
      <x:c r="G10" s="12" t="n">
        <x:v>16</x:v>
      </x:c>
      <x:c r="H10" s="12" t="str">
        <x:v>Auto候选数量，需人工回原文确认后才能进入Gold/Final</x:v>
      </x:c>
    </x:row>
  </x:sheetData>
  <x:mergeCells>
    <x:mergeCell ref="A2:H2"/>
  </x:mergeCells>
  <x:pageMargins left="0.7" right="0.7" top="0.75" bottom="0.75" header="0.3" footer="0.3"/>
</x:worksheet>
</file>

<file path=xl/worksheets/sheet4.xml><?xml version="1.0" encoding="utf-8"?>
<x:worksheet xmlns:x="http://schemas.openxmlformats.org/spreadsheetml/2006/main">
  <x:sheetPr>
    <x:tabColor rgb="FF9FBAD0"/>
  </x:sheetPr>
  <x:sheetViews>
    <x:sheetView showGridLines="0" workbookViewId="0">
      <x:pane xSplit="2" ySplit="5" topLeftCell="C6" activePane="bottomRight" state="frozen"/>
    </x:sheetView>
  </x:sheetViews>
  <x:sheetFormatPr defaultRowHeight="15"/>
  <x:cols>
    <x:col min="1" max="1" width="18" hidden="0" customWidth="1"/>
    <x:col min="2" max="2" width="18" hidden="0" customWidth="1"/>
    <x:col min="3" max="3" width="26" hidden="0" customWidth="1"/>
    <x:col min="4" max="4" width="18" hidden="0" customWidth="1"/>
    <x:col min="5" max="5" width="18" hidden="0" customWidth="1"/>
    <x:col min="6" max="6" width="30" hidden="0" customWidth="1"/>
    <x:col min="7" max="7" width="42" hidden="0" customWidth="1"/>
    <x:col min="8" max="8" width="18" hidden="0" customWidth="1"/>
  </x:cols>
  <x:sheetData>
    <x:row r="1">
      <x:c r="G1" s="32"/>
    </x:row>
    <x:row r="2">
      <x:c r="A2" s="26" t="str">
        <x:v>章节定位与页码索引</x:v>
      </x:c>
    </x:row>
    <x:row r="3">
      <x:c r="A3" s="3"/>
      <x:c r="B3" s="3"/>
      <x:c r="C3" s="3"/>
      <x:c r="D3" s="3"/>
      <x:c r="E3" s="3"/>
      <x:c r="F3" s="3"/>
      <x:c r="G3" s="3"/>
      <x:c r="H3" s="3"/>
    </x:row>
    <x:row r="5">
      <x:c r="A5" s="30" t="str">
        <x:v>股票代码</x:v>
      </x:c>
      <x:c r="B5" s="30" t="str">
        <x:v>公司简称</x:v>
      </x:c>
      <x:c r="C5" s="30" t="str">
        <x:v>章节组</x:v>
      </x:c>
      <x:c r="D5" s="30" t="str">
        <x:v>是否定位</x:v>
      </x:c>
      <x:c r="E5" s="30" t="str">
        <x:v>首个页码</x:v>
      </x:c>
      <x:c r="F5" s="30" t="str">
        <x:v>重点页码</x:v>
      </x:c>
      <x:c r="G5" s="30" t="str">
        <x:v>命中词</x:v>
      </x:c>
      <x:c r="H5" s="30" t="str">
        <x:v>命中页数</x:v>
      </x:c>
    </x:row>
    <x:row r="6" ht="22" customHeight="1">
      <x:c r="A6" s="11" t="str">
        <x:v>920123</x:v>
      </x:c>
      <x:c r="B6" s="11" t="str">
        <x:v>芭薇股份</x:v>
      </x:c>
      <x:c r="C6" s="11" t="str">
        <x:v>历史沿革与股本形成</x:v>
      </x:c>
      <x:c r="D6" s="11" t="str">
        <x:v>是</x:v>
      </x:c>
      <x:c r="E6" s="11" t="n">
        <x:v>29</x:v>
      </x:c>
      <x:c r="F6" s="11" t="str">
        <x:v>29、116</x:v>
      </x:c>
      <x:c r="G6" s="11" t="str">
        <x:v>设立以来</x:v>
      </x:c>
      <x:c r="H6" s="11" t="n">
        <x:v>2</x:v>
      </x:c>
    </x:row>
    <x:row r="7" ht="22" customHeight="1">
      <x:c r="A7" s="12" t="str">
        <x:v>920123</x:v>
      </x:c>
      <x:c r="B7" s="12" t="str">
        <x:v>芭薇股份</x:v>
      </x:c>
      <x:c r="C7" s="12" t="str">
        <x:v>股东与股权结构</x:v>
      </x:c>
      <x:c r="D7" s="12" t="str">
        <x:v>是</x:v>
      </x:c>
      <x:c r="E7" s="12" t="n">
        <x:v>5</x:v>
      </x:c>
      <x:c r="F7" s="12" t="str">
        <x:v>50、5、39、49、70、73</x:v>
      </x:c>
      <x:c r="G7" s="12" t="str">
        <x:v>股东情况、主要股东、前十名股东、持股比例、股权结构</x:v>
      </x:c>
      <x:c r="H7" s="12" t="n">
        <x:v>11</x:v>
      </x:c>
    </x:row>
    <x:row r="8" ht="22" customHeight="1">
      <x:c r="A8" s="12" t="str">
        <x:v>920123</x:v>
      </x:c>
      <x:c r="B8" s="12" t="str">
        <x:v>芭薇股份</x:v>
      </x:c>
      <x:c r="C8" s="12" t="str">
        <x:v>特殊投资条款</x:v>
      </x:c>
      <x:c r="D8" s="12" t="str">
        <x:v>是</x:v>
      </x:c>
      <x:c r="E8" s="12" t="n">
        <x:v>33</x:v>
      </x:c>
      <x:c r="F8" s="12" t="str">
        <x:v>57、58、60、61、59、62</x:v>
      </x:c>
      <x:c r="G8" s="12" t="str">
        <x:v>特殊投资条款、特殊投资约定、对赌、回购安排、反稀释</x:v>
      </x:c>
      <x:c r="H8" s="12" t="n">
        <x:v>7</x:v>
      </x:c>
    </x:row>
    <x:row r="9" ht="22" customHeight="1">
      <x:c r="A9" s="12" t="str">
        <x:v>920123</x:v>
      </x:c>
      <x:c r="B9" s="12" t="str">
        <x:v>芭薇股份</x:v>
      </x:c>
      <x:c r="C9" s="12" t="str">
        <x:v>基金与备案</x:v>
      </x:c>
      <x:c r="D9" s="12" t="str">
        <x:v>是</x:v>
      </x:c>
      <x:c r="E9" s="12" t="n">
        <x:v>11</x:v>
      </x:c>
      <x:c r="F9" s="12" t="str">
        <x:v>47、44、45、48、11、68</x:v>
      </x:c>
      <x:c r="G9" s="12" t="str">
        <x:v>私募投资基金、基金备案、创业投资、股权投资基金</x:v>
      </x:c>
      <x:c r="H9" s="12" t="n">
        <x:v>6</x:v>
      </x:c>
    </x:row>
    <x:row r="10" ht="22" customHeight="1">
      <x:c r="A10" s="12" t="str">
        <x:v>920575</x:v>
      </x:c>
      <x:c r="B10" s="12" t="str">
        <x:v>*ST康乐</x:v>
      </x:c>
      <x:c r="C10" s="12" t="str">
        <x:v>历史沿革与股本形成</x:v>
      </x:c>
      <x:c r="D10" s="12" t="str">
        <x:v>是</x:v>
      </x:c>
      <x:c r="E10" s="12" t="n">
        <x:v>9</x:v>
      </x:c>
      <x:c r="F10" s="12" t="str">
        <x:v>9、49、61、64、95</x:v>
      </x:c>
      <x:c r="G10" s="12" t="str">
        <x:v>设立以来、历史沿革</x:v>
      </x:c>
      <x:c r="H10" s="12" t="n">
        <x:v>5</x:v>
      </x:c>
    </x:row>
    <x:row r="11" ht="22" customHeight="1">
      <x:c r="A11" s="12" t="str">
        <x:v>920575</x:v>
      </x:c>
      <x:c r="B11" s="12" t="str">
        <x:v>*ST康乐</x:v>
      </x:c>
      <x:c r="C11" s="12" t="str">
        <x:v>股东与股权结构</x:v>
      </x:c>
      <x:c r="D11" s="12" t="str">
        <x:v>是</x:v>
      </x:c>
      <x:c r="E11" s="12" t="n">
        <x:v>10</x:v>
      </x:c>
      <x:c r="F11" s="12" t="str">
        <x:v>59、71、56、60、66、67</x:v>
      </x:c>
      <x:c r="G11" s="12" t="str">
        <x:v>股东情况、股权结构、主要股东、持股比例</x:v>
      </x:c>
      <x:c r="H11" s="12" t="n">
        <x:v>18</x:v>
      </x:c>
    </x:row>
    <x:row r="12" ht="22" customHeight="1">
      <x:c r="A12" s="12" t="str">
        <x:v>920575</x:v>
      </x:c>
      <x:c r="B12" s="12" t="str">
        <x:v>*ST康乐</x:v>
      </x:c>
      <x:c r="C12" s="12" t="str">
        <x:v>特殊投资条款</x:v>
      </x:c>
      <x:c r="D12" s="12" t="str">
        <x:v>是</x:v>
      </x:c>
      <x:c r="E12" s="12" t="n">
        <x:v>109</x:v>
      </x:c>
      <x:c r="F12" s="12" t="str">
        <x:v>109</x:v>
      </x:c>
      <x:c r="G12" s="12" t="str">
        <x:v>特殊投资条款、特殊投资约定</x:v>
      </x:c>
      <x:c r="H12" s="12" t="n">
        <x:v>1</x:v>
      </x:c>
    </x:row>
    <x:row r="13" ht="22" customHeight="1">
      <x:c r="A13" s="12" t="str">
        <x:v>920575</x:v>
      </x:c>
      <x:c r="B13" s="12" t="str">
        <x:v>*ST康乐</x:v>
      </x:c>
      <x:c r="C13" s="12" t="str">
        <x:v>基金与备案</x:v>
      </x:c>
      <x:c r="D13" s="12" t="str">
        <x:v>是</x:v>
      </x:c>
      <x:c r="E13" s="12" t="n">
        <x:v>13</x:v>
      </x:c>
      <x:c r="F13" s="12" t="str">
        <x:v>114、122、13、92、118、123</x:v>
      </x:c>
      <x:c r="G13" s="12" t="str">
        <x:v>创业投资、股权投资基金</x:v>
      </x:c>
      <x:c r="H13" s="12" t="n">
        <x:v>6</x:v>
      </x:c>
    </x:row>
    <x:row r="14" ht="22" customHeight="1">
      <x:c r="A14" s="12" t="str">
        <x:v>920719</x:v>
      </x:c>
      <x:c r="B14" s="12" t="str">
        <x:v>宁新新材</x:v>
      </x:c>
      <x:c r="C14" s="12" t="str">
        <x:v>历史沿革与股本形成</x:v>
      </x:c>
      <x:c r="D14" s="12" t="str">
        <x:v>是</x:v>
      </x:c>
      <x:c r="E14" s="12" t="n">
        <x:v>16</x:v>
      </x:c>
      <x:c r="F14" s="12" t="str">
        <x:v>97、16、24、96、98、171</x:v>
      </x:c>
      <x:c r="G14" s="12" t="str">
        <x:v>设立以来</x:v>
      </x:c>
      <x:c r="H14" s="12" t="n">
        <x:v>6</x:v>
      </x:c>
    </x:row>
    <x:row r="15" ht="22" customHeight="1">
      <x:c r="A15" s="12" t="str">
        <x:v>920719</x:v>
      </x:c>
      <x:c r="B15" s="12" t="str">
        <x:v>宁新新材</x:v>
      </x:c>
      <x:c r="C15" s="12" t="str">
        <x:v>股东与股权结构</x:v>
      </x:c>
      <x:c r="D15" s="12" t="str">
        <x:v>是</x:v>
      </x:c>
      <x:c r="E15" s="12" t="n">
        <x:v>5</x:v>
      </x:c>
      <x:c r="F15" s="12" t="str">
        <x:v>63、89、53、62、64、176</x:v>
      </x:c>
      <x:c r="G15" s="12" t="str">
        <x:v>股东情况、主要股东、前十名股东、持股比例、股权结构</x:v>
      </x:c>
      <x:c r="H15" s="12" t="n">
        <x:v>11</x:v>
      </x:c>
    </x:row>
    <x:row r="16" ht="22" customHeight="1">
      <x:c r="A16" s="12" t="str">
        <x:v>920719</x:v>
      </x:c>
      <x:c r="B16" s="12" t="str">
        <x:v>宁新新材</x:v>
      </x:c>
      <x:c r="C16" s="12" t="str">
        <x:v>特殊投资条款</x:v>
      </x:c>
      <x:c r="D16" s="12" t="str">
        <x:v>是</x:v>
      </x:c>
      <x:c r="E16" s="12" t="n">
        <x:v>64</x:v>
      </x:c>
      <x:c r="F16" s="12" t="str">
        <x:v>64</x:v>
      </x:c>
      <x:c r="G16" s="12" t="str">
        <x:v>特殊投资约定</x:v>
      </x:c>
      <x:c r="H16" s="12" t="n">
        <x:v>1</x:v>
      </x:c>
    </x:row>
    <x:row r="17" ht="22" customHeight="1">
      <x:c r="A17" s="12" t="str">
        <x:v>920719</x:v>
      </x:c>
      <x:c r="B17" s="12" t="str">
        <x:v>宁新新材</x:v>
      </x:c>
      <x:c r="C17" s="12" t="str">
        <x:v>基金与备案</x:v>
      </x:c>
      <x:c r="D17" s="12" t="str">
        <x:v>是</x:v>
      </x:c>
      <x:c r="E17" s="12" t="n">
        <x:v>11</x:v>
      </x:c>
      <x:c r="F17" s="12" t="str">
        <x:v>40、41、57、59、11、58</x:v>
      </x:c>
      <x:c r="G17" s="12" t="str">
        <x:v>创业投资、基金业协会、股权投资基金、私募投资基金、基金备案</x:v>
      </x:c>
      <x:c r="H17" s="12" t="n">
        <x:v>12</x:v>
      </x:c>
    </x:row>
    <x:row r="18" ht="22" customHeight="1">
      <x:c r="A18" s="12" t="str">
        <x:v>920522</x:v>
      </x:c>
      <x:c r="B18" s="12" t="str">
        <x:v>纳科诺尔</x:v>
      </x:c>
      <x:c r="C18" s="12" t="str">
        <x:v>历史沿革与股本形成</x:v>
      </x:c>
      <x:c r="D18" s="12" t="str">
        <x:v>是</x:v>
      </x:c>
      <x:c r="E18" s="12" t="n">
        <x:v>58</x:v>
      </x:c>
      <x:c r="F18" s="12" t="str">
        <x:v>58、109、110</x:v>
      </x:c>
      <x:c r="G18" s="12" t="str">
        <x:v>设立以来</x:v>
      </x:c>
      <x:c r="H18" s="12" t="n">
        <x:v>3</x:v>
      </x:c>
    </x:row>
    <x:row r="19" ht="22" customHeight="1">
      <x:c r="A19" s="12" t="str">
        <x:v>920522</x:v>
      </x:c>
      <x:c r="B19" s="12" t="str">
        <x:v>纳科诺尔</x:v>
      </x:c>
      <x:c r="C19" s="12" t="str">
        <x:v>股东与股权结构</x:v>
      </x:c>
      <x:c r="D19" s="12" t="str">
        <x:v>是</x:v>
      </x:c>
      <x:c r="E19" s="12" t="n">
        <x:v>8</x:v>
      </x:c>
      <x:c r="F19" s="12" t="str">
        <x:v>41、34、42、39、113、40</x:v>
      </x:c>
      <x:c r="G19" s="12" t="str">
        <x:v>股权结构、持股比例、股东情况、主要股东、前十名股东</x:v>
      </x:c>
      <x:c r="H19" s="12" t="n">
        <x:v>12</x:v>
      </x:c>
    </x:row>
    <x:row r="20" ht="22" customHeight="1">
      <x:c r="A20" s="12" t="str">
        <x:v>920522</x:v>
      </x:c>
      <x:c r="B20" s="12" t="str">
        <x:v>纳科诺尔</x:v>
      </x:c>
      <x:c r="C20" s="12" t="str">
        <x:v>特殊投资条款</x:v>
      </x:c>
      <x:c r="D20" s="12" t="str">
        <x:v>是</x:v>
      </x:c>
      <x:c r="E20" s="12" t="n">
        <x:v>44</x:v>
      </x:c>
      <x:c r="F20" s="12" t="str">
        <x:v>44</x:v>
      </x:c>
      <x:c r="G20" s="12" t="str">
        <x:v>对赌、回购安排、反稀释</x:v>
      </x:c>
      <x:c r="H20" s="12" t="n">
        <x:v>1</x:v>
      </x:c>
    </x:row>
    <x:row r="21" ht="22" customHeight="1">
      <x:c r="A21" s="12" t="str">
        <x:v>920522</x:v>
      </x:c>
      <x:c r="B21" s="12" t="str">
        <x:v>纳科诺尔</x:v>
      </x:c>
      <x:c r="C21" s="12" t="str">
        <x:v>基金与备案</x:v>
      </x:c>
      <x:c r="D21" s="12" t="str">
        <x:v>是</x:v>
      </x:c>
      <x:c r="E21" s="12" t="n">
        <x:v>35</x:v>
      </x:c>
      <x:c r="F21" s="12" t="str">
        <x:v>35、36、49</x:v>
      </x:c>
      <x:c r="G21" s="12" t="str">
        <x:v>基金业协会、创业投资、股权投资基金</x:v>
      </x:c>
      <x:c r="H21" s="12" t="n">
        <x:v>3</x:v>
      </x:c>
    </x:row>
    <x:row r="22" ht="22" customHeight="1">
      <x:c r="A22" s="12" t="str">
        <x:v>920099</x:v>
      </x:c>
      <x:c r="B22" s="12" t="str">
        <x:v>瑞华技术</x:v>
      </x:c>
      <x:c r="C22" s="12" t="str">
        <x:v>历史沿革与股本形成</x:v>
      </x:c>
      <x:c r="D22" s="12" t="str">
        <x:v>是</x:v>
      </x:c>
      <x:c r="E22" s="12" t="n">
        <x:v>105</x:v>
      </x:c>
      <x:c r="F22" s="12" t="str">
        <x:v>105、148</x:v>
      </x:c>
      <x:c r="G22" s="12" t="str">
        <x:v>设立以来</x:v>
      </x:c>
      <x:c r="H22" s="12" t="n">
        <x:v>2</x:v>
      </x:c>
    </x:row>
    <x:row r="23" ht="22" customHeight="1">
      <x:c r="A23" s="12" t="str">
        <x:v>920099</x:v>
      </x:c>
      <x:c r="B23" s="12" t="str">
        <x:v>瑞华技术</x:v>
      </x:c>
      <x:c r="C23" s="12" t="str">
        <x:v>股东与股权结构</x:v>
      </x:c>
      <x:c r="D23" s="12" t="str">
        <x:v>是</x:v>
      </x:c>
      <x:c r="E23" s="12" t="n">
        <x:v>5</x:v>
      </x:c>
      <x:c r="F23" s="12" t="str">
        <x:v>41、37、36、45、70、5</x:v>
      </x:c>
      <x:c r="G23" s="12" t="str">
        <x:v>股东情况、主要股东、前十名股东、持股比例、股权结构</x:v>
      </x:c>
      <x:c r="H23" s="12" t="n">
        <x:v>13</x:v>
      </x:c>
    </x:row>
    <x:row r="24" ht="22" customHeight="1">
      <x:c r="A24" s="12" t="str">
        <x:v>920099</x:v>
      </x:c>
      <x:c r="B24" s="12" t="str">
        <x:v>瑞华技术</x:v>
      </x:c>
      <x:c r="C24" s="12" t="str">
        <x:v>特殊投资条款</x:v>
      </x:c>
      <x:c r="D24" s="12" t="str">
        <x:v>是</x:v>
      </x:c>
      <x:c r="E24" s="12" t="n">
        <x:v>42</x:v>
      </x:c>
      <x:c r="F24" s="12" t="str">
        <x:v>44、42、45</x:v>
      </x:c>
      <x:c r="G24" s="12" t="str">
        <x:v>对赌</x:v>
      </x:c>
      <x:c r="H24" s="12" t="n">
        <x:v>3</x:v>
      </x:c>
    </x:row>
    <x:row r="25" ht="22" customHeight="1">
      <x:c r="A25" s="12" t="str">
        <x:v>920099</x:v>
      </x:c>
      <x:c r="B25" s="12" t="str">
        <x:v>瑞华技术</x:v>
      </x:c>
      <x:c r="C25" s="12" t="str">
        <x:v>基金与备案</x:v>
      </x:c>
      <x:c r="D25" s="12" t="str">
        <x:v>是</x:v>
      </x:c>
      <x:c r="E25" s="12" t="n">
        <x:v>12</x:v>
      </x:c>
      <x:c r="F25" s="12" t="str">
        <x:v>38、40、39、37、12、50</x:v>
      </x:c>
      <x:c r="G25" s="12" t="str">
        <x:v>基金备案、基金业协会、创业投资、股权投资基金</x:v>
      </x:c>
      <x:c r="H25" s="12" t="n">
        <x:v>7</x:v>
      </x:c>
    </x:row>
    <x:row r="26" ht="22" customHeight="1">
      <x:c r="A26" s="12" t="str">
        <x:v>920118</x:v>
      </x:c>
      <x:c r="B26" s="12" t="str">
        <x:v>太湖远大</x:v>
      </x:c>
      <x:c r="C26" s="12" t="str">
        <x:v>历史沿革与股本形成</x:v>
      </x:c>
      <x:c r="D26" s="12" t="str">
        <x:v>是</x:v>
      </x:c>
      <x:c r="E26" s="12" t="n">
        <x:v>83</x:v>
      </x:c>
      <x:c r="F26" s="12" t="str">
        <x:v>83、145、146、147</x:v>
      </x:c>
      <x:c r="G26" s="12" t="str">
        <x:v>设立以来</x:v>
      </x:c>
      <x:c r="H26" s="12" t="n">
        <x:v>4</x:v>
      </x:c>
    </x:row>
    <x:row r="27" ht="22" customHeight="1">
      <x:c r="A27" s="12" t="str">
        <x:v>920118</x:v>
      </x:c>
      <x:c r="B27" s="12" t="str">
        <x:v>太湖远大</x:v>
      </x:c>
      <x:c r="C27" s="12" t="str">
        <x:v>股东与股权结构</x:v>
      </x:c>
      <x:c r="D27" s="12" t="str">
        <x:v>是</x:v>
      </x:c>
      <x:c r="E27" s="12" t="n">
        <x:v>5</x:v>
      </x:c>
      <x:c r="F27" s="12" t="str">
        <x:v>37、36、39、41、42、35</x:v>
      </x:c>
      <x:c r="G27" s="12" t="str">
        <x:v>股权结构、持股比例、主要股东、股东情况、前十名股东</x:v>
      </x:c>
      <x:c r="H27" s="12" t="n">
        <x:v>12</x:v>
      </x:c>
    </x:row>
    <x:row r="28" ht="22" customHeight="1">
      <x:c r="A28" s="12" t="str">
        <x:v>920118</x:v>
      </x:c>
      <x:c r="B28" s="12" t="str">
        <x:v>太湖远大</x:v>
      </x:c>
      <x:c r="C28" s="12" t="str">
        <x:v>特殊投资条款</x:v>
      </x:c>
      <x:c r="D28" s="12" t="str">
        <x:v>是</x:v>
      </x:c>
      <x:c r="E28" s="12" t="n">
        <x:v>42</x:v>
      </x:c>
      <x:c r="F28" s="12" t="str">
        <x:v>42、43</x:v>
      </x:c>
      <x:c r="G28" s="12" t="str">
        <x:v>特殊投资条款</x:v>
      </x:c>
      <x:c r="H28" s="12" t="n">
        <x:v>2</x:v>
      </x:c>
    </x:row>
    <x:row r="29" ht="22" customHeight="1">
      <x:c r="A29" s="12" t="str">
        <x:v>920118</x:v>
      </x:c>
      <x:c r="B29" s="12" t="str">
        <x:v>太湖远大</x:v>
      </x:c>
      <x:c r="C29" s="12" t="str">
        <x:v>基金与备案</x:v>
      </x:c>
      <x:c r="D29" s="12" t="str">
        <x:v>是</x:v>
      </x:c>
      <x:c r="E29" s="12" t="n">
        <x:v>11</x:v>
      </x:c>
      <x:c r="F29" s="12" t="str">
        <x:v>150、37、11、151、38、49</x:v>
      </x:c>
      <x:c r="G29" s="12" t="str">
        <x:v>创业投资、基金业协会</x:v>
      </x:c>
      <x:c r="H29" s="12" t="n">
        <x:v>11</x:v>
      </x:c>
    </x:row>
    <x:row r="30" ht="22" customHeight="1">
      <x:c r="A30" s="12" t="str">
        <x:v>920249</x:v>
      </x:c>
      <x:c r="B30" s="12" t="str">
        <x:v>利尔达</x:v>
      </x:c>
      <x:c r="C30" s="12" t="str">
        <x:v>历史沿革与股本形成</x:v>
      </x:c>
      <x:c r="D30" s="12" t="str">
        <x:v>是</x:v>
      </x:c>
      <x:c r="E30" s="12" t="n">
        <x:v>72</x:v>
      </x:c>
      <x:c r="F30" s="12" t="str">
        <x:v>134、72、86、163</x:v>
      </x:c>
      <x:c r="G30" s="12" t="str">
        <x:v>历史沿革、设立以来</x:v>
      </x:c>
      <x:c r="H30" s="12" t="n">
        <x:v>4</x:v>
      </x:c>
    </x:row>
    <x:row r="31" ht="22" customHeight="1">
      <x:c r="A31" s="12" t="str">
        <x:v>920249</x:v>
      </x:c>
      <x:c r="B31" s="12" t="str">
        <x:v>利尔达</x:v>
      </x:c>
      <x:c r="C31" s="12" t="str">
        <x:v>股东与股权结构</x:v>
      </x:c>
      <x:c r="D31" s="12" t="str">
        <x:v>是</x:v>
      </x:c>
      <x:c r="E31" s="12" t="n">
        <x:v>5</x:v>
      </x:c>
      <x:c r="F31" s="12" t="str">
        <x:v>68、71、61、66、67、70</x:v>
      </x:c>
      <x:c r="G31" s="12" t="str">
        <x:v>股权结构、持股比例、股东情况、前十名股东</x:v>
      </x:c>
      <x:c r="H31" s="12" t="n">
        <x:v>19</x:v>
      </x:c>
    </x:row>
    <x:row r="32" ht="22" customHeight="1">
      <x:c r="A32" s="12" t="str">
        <x:v>920249</x:v>
      </x:c>
      <x:c r="B32" s="12" t="str">
        <x:v>利尔达</x:v>
      </x:c>
      <x:c r="C32" s="12" t="str">
        <x:v>特殊投资条款</x:v>
      </x:c>
      <x:c r="D32" s="12" t="str">
        <x:v>是</x:v>
      </x:c>
      <x:c r="E32" s="12" t="n">
        <x:v>85</x:v>
      </x:c>
      <x:c r="F32" s="12" t="str">
        <x:v>85、88、86、87、89</x:v>
      </x:c>
      <x:c r="G32" s="12" t="str">
        <x:v>特殊投资约定、对赌</x:v>
      </x:c>
      <x:c r="H32" s="12" t="n">
        <x:v>5</x:v>
      </x:c>
    </x:row>
    <x:row r="33" ht="22" customHeight="1">
      <x:c r="A33" s="12" t="str">
        <x:v>920249</x:v>
      </x:c>
      <x:c r="B33" s="12" t="str">
        <x:v>利尔达</x:v>
      </x:c>
      <x:c r="C33" s="12" t="str">
        <x:v>基金与备案</x:v>
      </x:c>
      <x:c r="D33" s="12" t="str">
        <x:v>是</x:v>
      </x:c>
      <x:c r="E33" s="12" t="n">
        <x:v>101</x:v>
      </x:c>
      <x:c r="F33" s="12" t="str">
        <x:v>101</x:v>
      </x:c>
      <x:c r="G33" s="12" t="str">
        <x:v>创业投资</x:v>
      </x:c>
      <x:c r="H33" s="12" t="n">
        <x:v>1</x:v>
      </x:c>
    </x:row>
    <x:row r="34" ht="22" customHeight="1">
      <x:c r="A34" s="12" t="str">
        <x:v>920438</x:v>
      </x:c>
      <x:c r="B34" s="12" t="str">
        <x:v>戈碧迦</x:v>
      </x:c>
      <x:c r="C34" s="12" t="str">
        <x:v>历史沿革与股本形成</x:v>
      </x:c>
      <x:c r="D34" s="12" t="str">
        <x:v>是</x:v>
      </x:c>
      <x:c r="E34" s="12" t="n">
        <x:v>108</x:v>
      </x:c>
      <x:c r="F34" s="12" t="str">
        <x:v>108</x:v>
      </x:c>
      <x:c r="G34" s="12" t="str">
        <x:v>设立以来</x:v>
      </x:c>
      <x:c r="H34" s="12" t="n">
        <x:v>1</x:v>
      </x:c>
    </x:row>
    <x:row r="35" ht="22" customHeight="1">
      <x:c r="A35" s="12" t="str">
        <x:v>920438</x:v>
      </x:c>
      <x:c r="B35" s="12" t="str">
        <x:v>戈碧迦</x:v>
      </x:c>
      <x:c r="C35" s="12" t="str">
        <x:v>股东与股权结构</x:v>
      </x:c>
      <x:c r="D35" s="12" t="str">
        <x:v>是</x:v>
      </x:c>
      <x:c r="E35" s="12" t="n">
        <x:v>41</x:v>
      </x:c>
      <x:c r="F35" s="12" t="str">
        <x:v>48、56、41、43、49、50</x:v>
      </x:c>
      <x:c r="G35" s="12" t="str">
        <x:v>股权结构、持股比例、主要股东</x:v>
      </x:c>
      <x:c r="H35" s="12" t="n">
        <x:v>16</x:v>
      </x:c>
    </x:row>
    <x:row r="36" ht="22" customHeight="1">
      <x:c r="A36" s="12" t="str">
        <x:v>920438</x:v>
      </x:c>
      <x:c r="B36" s="12" t="str">
        <x:v>戈碧迦</x:v>
      </x:c>
      <x:c r="C36" s="12" t="str">
        <x:v>特殊投资条款</x:v>
      </x:c>
      <x:c r="D36" s="12" t="str">
        <x:v>是</x:v>
      </x:c>
      <x:c r="E36" s="12" t="n">
        <x:v>57</x:v>
      </x:c>
      <x:c r="F36" s="12" t="str">
        <x:v>57</x:v>
      </x:c>
      <x:c r="G36" s="12" t="str">
        <x:v>特殊投资约定</x:v>
      </x:c>
      <x:c r="H36" s="12" t="n">
        <x:v>1</x:v>
      </x:c>
    </x:row>
    <x:row r="37" ht="22" customHeight="1">
      <x:c r="A37" s="12" t="str">
        <x:v>920438</x:v>
      </x:c>
      <x:c r="B37" s="12" t="str">
        <x:v>戈碧迦</x:v>
      </x:c>
      <x:c r="C37" s="12" t="str">
        <x:v>基金与备案</x:v>
      </x:c>
      <x:c r="D37" s="12" t="str">
        <x:v>是</x:v>
      </x:c>
      <x:c r="E37" s="12" t="n">
        <x:v>13</x:v>
      </x:c>
      <x:c r="F37" s="12" t="str">
        <x:v>45、13、55、66、71、43</x:v>
      </x:c>
      <x:c r="G37" s="12" t="str">
        <x:v>创业投资、股权投资基金</x:v>
      </x:c>
      <x:c r="H37" s="12" t="n">
        <x:v>10</x:v>
      </x:c>
    </x:row>
    <x:row r="38" ht="22" customHeight="1">
      <x:c r="A38" s="12" t="str">
        <x:v>920016</x:v>
      </x:c>
      <x:c r="B38" s="12" t="str">
        <x:v>中草香料</x:v>
      </x:c>
      <x:c r="C38" s="12" t="str">
        <x:v>历史沿革与股本形成</x:v>
      </x:c>
      <x:c r="D38" s="12" t="str">
        <x:v>是</x:v>
      </x:c>
      <x:c r="E38" s="12" t="n">
        <x:v>19</x:v>
      </x:c>
      <x:c r="F38" s="12" t="str">
        <x:v>107、80、19、20、76、84</x:v>
      </x:c>
      <x:c r="G38" s="12" t="str">
        <x:v>设立以来</x:v>
      </x:c>
      <x:c r="H38" s="12" t="n">
        <x:v>9</x:v>
      </x:c>
    </x:row>
    <x:row r="39" ht="22" customHeight="1">
      <x:c r="A39" s="12" t="str">
        <x:v>920016</x:v>
      </x:c>
      <x:c r="B39" s="12" t="str">
        <x:v>中草香料</x:v>
      </x:c>
      <x:c r="C39" s="12" t="str">
        <x:v>股东与股权结构</x:v>
      </x:c>
      <x:c r="D39" s="12" t="str">
        <x:v>是</x:v>
      </x:c>
      <x:c r="E39" s="12" t="n">
        <x:v>5</x:v>
      </x:c>
      <x:c r="F39" s="12" t="str">
        <x:v>35、33、38、5、34、37</x:v>
      </x:c>
      <x:c r="G39" s="12" t="str">
        <x:v>股东情况、主要股东、前十名股东、持股比例、股权结构</x:v>
      </x:c>
      <x:c r="H39" s="12" t="n">
        <x:v>12</x:v>
      </x:c>
    </x:row>
    <x:row r="40" ht="22" customHeight="1">
      <x:c r="A40" s="12" t="str">
        <x:v>920016</x:v>
      </x:c>
      <x:c r="B40" s="12" t="str">
        <x:v>中草香料</x:v>
      </x:c>
      <x:c r="C40" s="12" t="str">
        <x:v>特殊投资条款</x:v>
      </x:c>
      <x:c r="D40" s="12" t="str">
        <x:v>是</x:v>
      </x:c>
      <x:c r="E40" s="12" t="n">
        <x:v>38</x:v>
      </x:c>
      <x:c r="F40" s="12" t="str">
        <x:v>38、46</x:v>
      </x:c>
      <x:c r="G40" s="12" t="str">
        <x:v>特殊投资条款、特殊投资约定、对赌</x:v>
      </x:c>
      <x:c r="H40" s="12" t="n">
        <x:v>2</x:v>
      </x:c>
    </x:row>
    <x:row r="41" ht="22" customHeight="1">
      <x:c r="A41" s="12" t="str">
        <x:v>920016</x:v>
      </x:c>
      <x:c r="B41" s="12" t="str">
        <x:v>中草香料</x:v>
      </x:c>
      <x:c r="C41" s="12" t="str">
        <x:v>基金与备案</x:v>
      </x:c>
      <x:c r="D41" s="12" t="str">
        <x:v>是</x:v>
      </x:c>
      <x:c r="E41" s="12" t="n">
        <x:v>10</x:v>
      </x:c>
      <x:c r="F41" s="12" t="str">
        <x:v>49、16、42、10、36、46</x:v>
      </x:c>
      <x:c r="G41" s="12" t="str">
        <x:v>股权投资基金、创业投资</x:v>
      </x:c>
      <x:c r="H41" s="12" t="n">
        <x:v>6</x:v>
      </x:c>
    </x:row>
    <x:row r="42" ht="22" customHeight="1">
      <x:c r="A42" s="12" t="str">
        <x:v>920304</x:v>
      </x:c>
      <x:c r="B42" s="12" t="str">
        <x:v>迪尔化工</x:v>
      </x:c>
      <x:c r="C42" s="12" t="str">
        <x:v>历史沿革与股本形成</x:v>
      </x:c>
      <x:c r="D42" s="12" t="str">
        <x:v>是</x:v>
      </x:c>
      <x:c r="E42" s="12" t="n">
        <x:v>59</x:v>
      </x:c>
      <x:c r="F42" s="12" t="str">
        <x:v>59、112</x:v>
      </x:c>
      <x:c r="G42" s="12" t="str">
        <x:v>历史沿革、设立以来</x:v>
      </x:c>
      <x:c r="H42" s="12" t="n">
        <x:v>2</x:v>
      </x:c>
    </x:row>
    <x:row r="43" ht="22" customHeight="1">
      <x:c r="A43" s="12" t="str">
        <x:v>920304</x:v>
      </x:c>
      <x:c r="B43" s="12" t="str">
        <x:v>迪尔化工</x:v>
      </x:c>
      <x:c r="C43" s="12" t="str">
        <x:v>股东与股权结构</x:v>
      </x:c>
      <x:c r="D43" s="12" t="str">
        <x:v>是</x:v>
      </x:c>
      <x:c r="E43" s="12" t="n">
        <x:v>12</x:v>
      </x:c>
      <x:c r="F43" s="12" t="str">
        <x:v>28、31、29、35、126、12</x:v>
      </x:c>
      <x:c r="G43" s="12" t="str">
        <x:v>股东情况、股权结构、持股比例、主要股东</x:v>
      </x:c>
      <x:c r="H43" s="12" t="n">
        <x:v>18</x:v>
      </x:c>
    </x:row>
    <x:row r="44" ht="22" customHeight="1">
      <x:c r="A44" s="12" t="str">
        <x:v>920304</x:v>
      </x:c>
      <x:c r="B44" s="12" t="str">
        <x:v>迪尔化工</x:v>
      </x:c>
      <x:c r="C44" s="12" t="str">
        <x:v>特殊投资条款</x:v>
      </x:c>
      <x:c r="D44" s="12" t="str">
        <x:v>是</x:v>
      </x:c>
      <x:c r="E44" s="12" t="n">
        <x:v>46</x:v>
      </x:c>
      <x:c r="F44" s="12" t="str">
        <x:v>46、47</x:v>
      </x:c>
      <x:c r="G44" s="12" t="str">
        <x:v>对赌</x:v>
      </x:c>
      <x:c r="H44" s="12" t="n">
        <x:v>2</x:v>
      </x:c>
    </x:row>
    <x:row r="45" ht="22" customHeight="1">
      <x:c r="A45" s="12" t="str">
        <x:v>920304</x:v>
      </x:c>
      <x:c r="B45" s="12" t="str">
        <x:v>迪尔化工</x:v>
      </x:c>
      <x:c r="C45" s="12" t="str">
        <x:v>基金与备案</x:v>
      </x:c>
      <x:c r="D45" s="12" t="str">
        <x:v>否</x:v>
      </x:c>
      <x:c r="E45" s="12" t="str"/>
      <x:c r="F45" s="12" t="str"/>
      <x:c r="G45" s="12" t="str"/>
      <x:c r="H45" s="12" t="n">
        <x:v>0</x:v>
      </x:c>
    </x:row>
    <x:row r="46" ht="22" customHeight="1">
      <x:c r="A46" s="12" t="str">
        <x:v>920008</x:v>
      </x:c>
      <x:c r="B46" s="12" t="str">
        <x:v>成电光信</x:v>
      </x:c>
      <x:c r="C46" s="12" t="str">
        <x:v>历史沿革与股本形成</x:v>
      </x:c>
      <x:c r="D46" s="12" t="str">
        <x:v>是</x:v>
      </x:c>
      <x:c r="E46" s="12" t="n">
        <x:v>6</x:v>
      </x:c>
      <x:c r="F46" s="12" t="str">
        <x:v>6、20、23、73、74、84</x:v>
      </x:c>
      <x:c r="G46" s="12" t="str">
        <x:v>设立以来</x:v>
      </x:c>
      <x:c r="H46" s="12" t="n">
        <x:v>7</x:v>
      </x:c>
    </x:row>
    <x:row r="47" ht="22" customHeight="1">
      <x:c r="A47" s="12" t="str">
        <x:v>920008</x:v>
      </x:c>
      <x:c r="B47" s="12" t="str">
        <x:v>成电光信</x:v>
      </x:c>
      <x:c r="C47" s="12" t="str">
        <x:v>股东与股权结构</x:v>
      </x:c>
      <x:c r="D47" s="12" t="str">
        <x:v>是</x:v>
      </x:c>
      <x:c r="E47" s="12" t="n">
        <x:v>5</x:v>
      </x:c>
      <x:c r="F47" s="12" t="str">
        <x:v>40、37、33、35、137、146</x:v>
      </x:c>
      <x:c r="G47" s="12" t="str">
        <x:v>股权结构、主要股东、持股比例、股东情况、前十名股东</x:v>
      </x:c>
      <x:c r="H47" s="12" t="n">
        <x:v>16</x:v>
      </x:c>
    </x:row>
    <x:row r="48" ht="22" customHeight="1">
      <x:c r="A48" s="12" t="str">
        <x:v>920008</x:v>
      </x:c>
      <x:c r="B48" s="12" t="str">
        <x:v>成电光信</x:v>
      </x:c>
      <x:c r="C48" s="12" t="str">
        <x:v>特殊投资条款</x:v>
      </x:c>
      <x:c r="D48" s="12" t="str">
        <x:v>是</x:v>
      </x:c>
      <x:c r="E48" s="12" t="n">
        <x:v>40</x:v>
      </x:c>
      <x:c r="F48" s="12" t="str">
        <x:v>40、41</x:v>
      </x:c>
      <x:c r="G48" s="12" t="str">
        <x:v>特殊投资约定、对赌、反稀释</x:v>
      </x:c>
      <x:c r="H48" s="12" t="n">
        <x:v>2</x:v>
      </x:c>
    </x:row>
    <x:row r="49" ht="22" customHeight="1">
      <x:c r="A49" s="12" t="str">
        <x:v>920008</x:v>
      </x:c>
      <x:c r="B49" s="12" t="str">
        <x:v>成电光信</x:v>
      </x:c>
      <x:c r="C49" s="12" t="str">
        <x:v>基金与备案</x:v>
      </x:c>
      <x:c r="D49" s="12" t="str">
        <x:v>是</x:v>
      </x:c>
      <x:c r="E49" s="12" t="n">
        <x:v>12</x:v>
      </x:c>
      <x:c r="F49" s="12" t="str">
        <x:v>12、40、45、70</x:v>
      </x:c>
      <x:c r="G49" s="12" t="str">
        <x:v>创业投资</x:v>
      </x:c>
      <x:c r="H49" s="12" t="n">
        <x:v>4</x:v>
      </x:c>
    </x:row>
    <x:row r="50" ht="22" customHeight="1">
      <x:c r="A50" s="12" t="str">
        <x:v>920950</x:v>
      </x:c>
      <x:c r="B50" s="12" t="str">
        <x:v>迅安科技</x:v>
      </x:c>
      <x:c r="C50" s="12" t="str">
        <x:v>历史沿革与股本形成</x:v>
      </x:c>
      <x:c r="D50" s="12" t="str">
        <x:v>是</x:v>
      </x:c>
      <x:c r="E50" s="12" t="n">
        <x:v>107</x:v>
      </x:c>
      <x:c r="F50" s="12" t="str">
        <x:v>107</x:v>
      </x:c>
      <x:c r="G50" s="12" t="str">
        <x:v>设立以来</x:v>
      </x:c>
      <x:c r="H50" s="12" t="n">
        <x:v>1</x:v>
      </x:c>
    </x:row>
    <x:row r="51" ht="22" customHeight="1">
      <x:c r="A51" s="12" t="str">
        <x:v>920950</x:v>
      </x:c>
      <x:c r="B51" s="12" t="str">
        <x:v>迅安科技</x:v>
      </x:c>
      <x:c r="C51" s="12" t="str">
        <x:v>股东与股权结构</x:v>
      </x:c>
      <x:c r="D51" s="12" t="str">
        <x:v>是</x:v>
      </x:c>
      <x:c r="E51" s="12" t="n">
        <x:v>5</x:v>
      </x:c>
      <x:c r="F51" s="12" t="str">
        <x:v>42、38、15、39、43、46</x:v>
      </x:c>
      <x:c r="G51" s="12" t="str">
        <x:v>股东情况、前十名股东、持股比例、股权结构、主要股东</x:v>
      </x:c>
      <x:c r="H51" s="12" t="n">
        <x:v>15</x:v>
      </x:c>
    </x:row>
    <x:row r="52" ht="22" customHeight="1">
      <x:c r="A52" s="12" t="str">
        <x:v>920950</x:v>
      </x:c>
      <x:c r="B52" s="12" t="str">
        <x:v>迅安科技</x:v>
      </x:c>
      <x:c r="C52" s="12" t="str">
        <x:v>特殊投资条款</x:v>
      </x:c>
      <x:c r="D52" s="12" t="str">
        <x:v>是</x:v>
      </x:c>
      <x:c r="E52" s="12" t="n">
        <x:v>43</x:v>
      </x:c>
      <x:c r="F52" s="12" t="str">
        <x:v>43、44</x:v>
      </x:c>
      <x:c r="G52" s="12" t="str">
        <x:v>特殊投资约定</x:v>
      </x:c>
      <x:c r="H52" s="12" t="n">
        <x:v>2</x:v>
      </x:c>
    </x:row>
    <x:row r="53" ht="22" customHeight="1">
      <x:c r="A53" s="12" t="str">
        <x:v>920950</x:v>
      </x:c>
      <x:c r="B53" s="12" t="str">
        <x:v>迅安科技</x:v>
      </x:c>
      <x:c r="C53" s="12" t="str">
        <x:v>基金与备案</x:v>
      </x:c>
      <x:c r="D53" s="12" t="str">
        <x:v>是</x:v>
      </x:c>
      <x:c r="E53" s="12" t="n">
        <x:v>19</x:v>
      </x:c>
      <x:c r="F53" s="12" t="str">
        <x:v>19、41</x:v>
      </x:c>
      <x:c r="G53" s="12" t="str">
        <x:v>创业投资、股权投资基金、私募投资基金、基金备案</x:v>
      </x:c>
      <x:c r="H53" s="12" t="n">
        <x:v>2</x:v>
      </x:c>
    </x:row>
  </x:sheetData>
  <x:mergeCells>
    <x:mergeCell ref="A2:H2"/>
  </x:mergeCells>
  <x:pageMargins left="0.7" right="0.7" top="0.75" bottom="0.75" header="0.3" footer="0.3"/>
</x:worksheet>
</file>

<file path=xl/worksheets/sheet5.xml><?xml version="1.0" encoding="utf-8"?>
<x:worksheet xmlns:x="http://schemas.openxmlformats.org/spreadsheetml/2006/main">
  <x:sheetPr>
    <x:tabColor rgb="FF9FBAD0"/>
  </x:sheetPr>
  <x:sheetViews>
    <x:sheetView showGridLines="0" workbookViewId="0">
      <x:pane xSplit="3" ySplit="5" topLeftCell="D6" activePane="bottomRight" state="frozen"/>
    </x:sheetView>
  </x:sheetViews>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 min="7" max="7" width="22" hidden="0" customWidth="1"/>
    <x:col min="8" max="8" width="24" hidden="0" customWidth="1"/>
    <x:col min="9" max="9" width="20" hidden="0" customWidth="1"/>
    <x:col min="10" max="10" width="18" hidden="0" customWidth="1"/>
    <x:col min="11" max="11" width="18" hidden="0" customWidth="1"/>
    <x:col min="12" max="12" width="26" hidden="0" customWidth="1"/>
    <x:col min="13" max="13" width="78" hidden="0" customWidth="1"/>
  </x:cols>
  <x:sheetData>
    <x:row r="1">
      <x:c r="L1" s="32"/>
      <x:c r="M1" s="32"/>
    </x:row>
    <x:row r="2">
      <x:c r="A2" s="26" t="str">
        <x:v>Auto证据候选明细</x:v>
      </x:c>
    </x:row>
    <x:row r="3">
      <x:c r="A3" s="3"/>
      <x:c r="B3" s="3"/>
      <x:c r="C3" s="3"/>
      <x:c r="D3" s="3"/>
      <x:c r="E3" s="3"/>
      <x:c r="F3" s="3"/>
      <x:c r="G3" s="3"/>
      <x:c r="H3" s="3"/>
      <x:c r="I3" s="3"/>
      <x:c r="J3" s="3"/>
      <x:c r="K3" s="3"/>
      <x:c r="L3" s="3"/>
      <x:c r="M3" s="3"/>
    </x:row>
    <x:row r="5">
      <x:c r="A5" s="30" t="str">
        <x:v>候选ID</x:v>
      </x:c>
      <x:c r="B5" s="30" t="str">
        <x:v>股票代码</x:v>
      </x:c>
      <x:c r="C5" s="30" t="str">
        <x:v>公司简称</x:v>
      </x:c>
      <x:c r="D5" s="30" t="str">
        <x:v>事件类型</x:v>
      </x:c>
      <x:c r="E5" s="30" t="str">
        <x:v>页码</x:v>
      </x:c>
      <x:c r="F5" s="30" t="str">
        <x:v>命中词</x:v>
      </x:c>
      <x:c r="G5" s="30" t="str">
        <x:v>日期文本</x:v>
      </x:c>
      <x:c r="H5" s="30" t="str">
        <x:v>金额文本</x:v>
      </x:c>
      <x:c r="I5" s="30" t="str">
        <x:v>股数文本</x:v>
      </x:c>
      <x:c r="J5" s="30" t="str">
        <x:v>比例文本</x:v>
      </x:c>
      <x:c r="K5" s="30" t="str">
        <x:v>置信度</x:v>
      </x:c>
      <x:c r="L5" s="30" t="str">
        <x:v>Auto状态</x:v>
      </x:c>
      <x:c r="M5" s="30" t="str">
        <x:v>证据预览</x:v>
      </x:c>
    </x:row>
    <x:row r="6" ht="38" customHeight="1">
      <x:c r="A6" s="11" t="str">
        <x:v>W13-920123-001</x:v>
      </x:c>
      <x:c r="B6" s="11" t="str">
        <x:v>920123</x:v>
      </x:c>
      <x:c r="C6" s="11" t="str">
        <x:v>芭薇股份</x:v>
      </x:c>
      <x:c r="D6" s="11" t="str">
        <x:v>增资认缴</x:v>
      </x:c>
      <x:c r="E6" s="11" t="n">
        <x:v>57</x:v>
      </x:c>
      <x:c r="F6" s="11" t="str">
        <x:v>定向发行</x:v>
      </x:c>
      <x:c r="G6" s="11" t="str">
        <x:v>2018 年 1 月 9 日</x:v>
      </x:c>
      <x:c r="H6" s="11" t="str"/>
      <x:c r="I6" s="11" t="str"/>
      <x:c r="J6" s="11" t="str">
        <x:v>8%</x:v>
      </x:c>
      <x:c r="K6" s="11" t="str">
        <x:v>中</x:v>
      </x:c>
      <x:c r="L6" s="11" t="str">
        <x:v>保留为Auto候选</x:v>
      </x:c>
      <x:c r="M6" s="11" t="str">
        <x:v>1-1-56 （二）特殊投资约定等可能导致股权结构变化的事项 1、2018 年第一次股票定向发行中涉及的特殊投资条款 （1）特殊投资条款情况 2018 年 1 月 9 日，冷群英、刘瑞学、冷智刚（合称为“乙方”/“回购方”）与杭 州叩问、南海同赢、卢跃华（合称为“甲方”）签署了《广东芭薇生物科技股份有限公 司股票认购协议之补充协议》（以下简称“《补充协...</x:v>
      </x:c>
    </x:row>
    <x:row r="7" ht="38" customHeight="1">
      <x:c r="A7" s="12" t="str">
        <x:v>W13-920123-002</x:v>
      </x:c>
      <x:c r="B7" s="12" t="str">
        <x:v>920123</x:v>
      </x:c>
      <x:c r="C7" s="12" t="str">
        <x:v>芭薇股份</x:v>
      </x:c>
      <x:c r="D7" s="12" t="str">
        <x:v>增资认缴</x:v>
      </x:c>
      <x:c r="E7" s="12" t="n">
        <x:v>58</x:v>
      </x:c>
      <x:c r="F7" s="12" t="str">
        <x:v>认购</x:v>
      </x:c>
      <x:c r="G7" s="12" t="str">
        <x:v>2021 年 10 月 25 日</x:v>
      </x:c>
      <x:c r="H7" s="12" t="str"/>
      <x:c r="I7" s="12" t="str"/>
      <x:c r="J7" s="12" t="str">
        <x:v>8%</x:v>
      </x:c>
      <x:c r="K7" s="12" t="str">
        <x:v>中</x:v>
      </x:c>
      <x:c r="L7" s="12" t="str">
        <x:v>保留为Auto候选</x:v>
      </x:c>
      <x:c r="M7" s="12" t="str">
        <x:v>1-1-57 权利条款等）均自始无效，不存在其他已触发但尚未履行的条款（包括但不限于对赌 条款、回购条款、甲方特别权利条款等） 。各方对于《股票认购协议书》 《补充协议》 的履行、终止，不存在争议、纠纷或潜在纠纷。除《股票认购协议书》 《补充协议》及 解除协议外，各方就目标公司股份未达成其他任何特殊权利义务的安排及约定。 上述回购事宜未对公司控制权及经...</x:v>
      </x:c>
    </x:row>
    <x:row r="8" ht="38" customHeight="1">
      <x:c r="A8" s="12" t="str">
        <x:v>W13-920123-003</x:v>
      </x:c>
      <x:c r="B8" s="12" t="str">
        <x:v>920123</x:v>
      </x:c>
      <x:c r="C8" s="12" t="str">
        <x:v>芭薇股份</x:v>
      </x:c>
      <x:c r="D8" s="12" t="str">
        <x:v>增资认缴</x:v>
      </x:c>
      <x:c r="E8" s="12" t="n">
        <x:v>36</x:v>
      </x:c>
      <x:c r="F8" s="12" t="str">
        <x:v>定向发行</x:v>
      </x:c>
      <x:c r="G8" s="12" t="str">
        <x:v>2021 年 7 月 7 日</x:v>
      </x:c>
      <x:c r="H8" s="12" t="str">
        <x:v>3,855,957.00 元</x:v>
      </x:c>
      <x:c r="I8" s="12" t="str">
        <x:v>1,285,319 股</x:v>
      </x:c>
      <x:c r="J8" s="12" t="str"/>
      <x:c r="K8" s="12" t="str">
        <x:v>高</x:v>
      </x:c>
      <x:c r="L8" s="12" t="str">
        <x:v>保留为Auto候选</x:v>
      </x:c>
      <x:c r="M8" s="12" t="str">
        <x:v>1-1-35 2021 年 7 月 7 日，芭薇股份收到中国证监会核发的《关于核准广东芭薇生物科技 股份有限公司定向发行股票的批复》（证监许可〔2021〕2323 号），核准公司定向发行 不超过 1,285,319 股新股。 2021 年 7 月 19 日，天职国际会计师事务所（特殊普通合伙）出具《验资报告》 （天职业字[2021]36397 号） ，...</x:v>
      </x:c>
    </x:row>
    <x:row r="9" ht="38" customHeight="1">
      <x:c r="A9" s="12" t="str">
        <x:v>W13-920123-004</x:v>
      </x:c>
      <x:c r="B9" s="12" t="str">
        <x:v>920123</x:v>
      </x:c>
      <x:c r="C9" s="12" t="str">
        <x:v>芭薇股份</x:v>
      </x:c>
      <x:c r="D9" s="12" t="str">
        <x:v>增资认缴</x:v>
      </x:c>
      <x:c r="E9" s="12" t="n">
        <x:v>37</x:v>
      </x:c>
      <x:c r="F9" s="12" t="str">
        <x:v>认购</x:v>
      </x:c>
      <x:c r="G9" s="12" t="str">
        <x:v>2021 年 11 月 19 日</x:v>
      </x:c>
      <x:c r="H9" s="12" t="str">
        <x:v>2,652.4155 万元</x:v>
      </x:c>
      <x:c r="I9" s="12" t="str"/>
      <x:c r="J9" s="12" t="str"/>
      <x:c r="K9" s="12" t="str">
        <x:v>中</x:v>
      </x:c>
      <x:c r="L9" s="12" t="str">
        <x:v>保留为Auto候选</x:v>
      </x:c>
      <x:c r="M9" s="12" t="str">
        <x:v>日，芭薇股份与联明投资、锦盛新材、冷群英、刘瑞学签署了 《广东芭薇生物科技股份有限公司之投资协议》 ，同日，联明投资、锦盛新材与冷群 英、刘瑞学签署了《&lt;广东芭薇生物科技股份有限公司之投资协议 &gt;之补充协议》 。 《广 东芭薇生物科技股份有限公司之投资协议》约定联明投资以 2,652.4155 万元认购芭薇 股份新增人民币 252.6110 万元注册资...</x:v>
      </x:c>
    </x:row>
    <x:row r="10" ht="38" customHeight="1">
      <x:c r="A10" s="12" t="str">
        <x:v>W13-920123-005</x:v>
      </x:c>
      <x:c r="B10" s="12" t="str">
        <x:v>920123</x:v>
      </x:c>
      <x:c r="C10" s="12" t="str">
        <x:v>芭薇股份</x:v>
      </x:c>
      <x:c r="D10" s="12" t="str">
        <x:v>增资认缴</x:v>
      </x:c>
      <x:c r="E10" s="12" t="n">
        <x:v>35</x:v>
      </x:c>
      <x:c r="F10" s="12" t="str">
        <x:v>认购</x:v>
      </x:c>
      <x:c r="G10" s="12" t="str">
        <x:v>2021 年 6 月 7 日</x:v>
      </x:c>
      <x:c r="H10" s="12" t="str">
        <x:v>1,248.00 万元</x:v>
      </x:c>
      <x:c r="I10" s="12" t="str">
        <x:v>416 万股</x:v>
      </x:c>
      <x:c r="J10" s="12" t="str"/>
      <x:c r="K10" s="12" t="str">
        <x:v>高</x:v>
      </x:c>
      <x:c r="L10" s="12" t="str">
        <x:v>保留为Auto候选</x:v>
      </x:c>
      <x:c r="M10" s="12" t="str">
        <x:v>股价格授予陈彪 416 万股限制性股票，协议书约定了限售及解除 限售安排、考核安排等事项。 2021 年 6 月 7 日，天职国际会计师事务所（特殊普通合伙）出具《验资报告》 （天职业字[2021]32771 号） ，经审验，截至2021 年 6 月 1 日，公司已收到激励对象陈 彪缴纳的股权激励认购款 1,248.00 万元，其中计入注册资本（股本）...</x:v>
      </x:c>
    </x:row>
    <x:row r="11" ht="38" customHeight="1">
      <x:c r="A11" s="12" t="str">
        <x:v>W13-920123-006</x:v>
      </x:c>
      <x:c r="B11" s="12" t="str">
        <x:v>920123</x:v>
      </x:c>
      <x:c r="C11" s="12" t="str">
        <x:v>芭薇股份</x:v>
      </x:c>
      <x:c r="D11" s="12" t="str">
        <x:v>增资认缴</x:v>
      </x:c>
      <x:c r="E11" s="12" t="n">
        <x:v>59</x:v>
      </x:c>
      <x:c r="F11" s="12" t="str">
        <x:v>增资</x:v>
      </x:c>
      <x:c r="G11" s="12" t="str"/>
      <x:c r="H11" s="12" t="str"/>
      <x:c r="I11" s="12" t="str"/>
      <x:c r="J11" s="12" t="str">
        <x:v>8%</x:v>
      </x:c>
      <x:c r="K11" s="12" t="str">
        <x:v>低</x:v>
      </x:c>
      <x:c r="L11" s="12" t="str">
        <x:v>保留为Auto候选</x:v>
      </x:c>
      <x:c r="M11" s="12" t="str">
        <x:v>出现“清算事件”）、转移核心资产或控制 权变更，在股东可分配财产或转让价款总额中，乙方保证甲方获得 其累计实际投资款以及交割日后已累积的红利、已宣布但尚未支付 的红利，如公司分配给甲方的剩余资产不足投资款和投资款实际投 资期年化 8%的收益之和，差额部分由乙方进行补偿。 第四条现金补偿承诺 本次增资完成后，在首次公开发行股票并上市前，若公司发行任何 新...</x:v>
      </x:c>
    </x:row>
    <x:row r="12" ht="38" customHeight="1">
      <x:c r="A12" s="12" t="str">
        <x:v>W13-920123-007</x:v>
      </x:c>
      <x:c r="B12" s="12" t="str">
        <x:v>920123</x:v>
      </x:c>
      <x:c r="C12" s="12" t="str">
        <x:v>芭薇股份</x:v>
      </x:c>
      <x:c r="D12" s="12" t="str">
        <x:v>增资认缴</x:v>
      </x:c>
      <x:c r="E12" s="12" t="n">
        <x:v>61</x:v>
      </x:c>
      <x:c r="F12" s="12" t="str">
        <x:v>增资</x:v>
      </x:c>
      <x:c r="G12" s="12" t="str"/>
      <x:c r="H12" s="12" t="str"/>
      <x:c r="I12" s="12" t="str"/>
      <x:c r="J12" s="12" t="str">
        <x:v>8%</x:v>
      </x:c>
      <x:c r="K12" s="12" t="str">
        <x:v>低</x:v>
      </x:c>
      <x:c r="L12" s="12" t="str">
        <x:v>保留为Auto候选</x:v>
      </x:c>
      <x:c r="M12" s="12" t="str">
        <x:v>出现“清算事件”）、转移核心资产或控制 权变更，在股东可分配财产或转让价款总额中，乙方保证甲方获得 其累计实际投资款以及交割日后已累积的红利、已宣布但尚未支付 的红利，如公司分配给甲方的剩余资产不足投资款和投资款实际投 资期年化 8%的收益之和，差额部分由乙方进行补偿。 第四条现金补偿承诺 本次增资完成后，在首次公开发行股票并上市前，若公司发行任何 新...</x:v>
      </x:c>
    </x:row>
    <x:row r="13" ht="38" customHeight="1">
      <x:c r="A13" s="12" t="str">
        <x:v>W13-920123-008</x:v>
      </x:c>
      <x:c r="B13" s="12" t="str">
        <x:v>920123</x:v>
      </x:c>
      <x:c r="C13" s="12" t="str">
        <x:v>芭薇股份</x:v>
      </x:c>
      <x:c r="D13" s="12" t="str">
        <x:v>增资认缴</x:v>
      </x:c>
      <x:c r="E13" s="12" t="n">
        <x:v>33</x:v>
      </x:c>
      <x:c r="F13" s="12" t="str">
        <x:v>定向发行</x:v>
      </x:c>
      <x:c r="G13" s="12" t="str">
        <x:v>2023 年 8 月 10 日</x:v>
      </x:c>
      <x:c r="H13" s="12" t="str"/>
      <x:c r="I13" s="12" t="str"/>
      <x:c r="J13" s="12" t="str"/>
      <x:c r="K13" s="12" t="str">
        <x:v>中</x:v>
      </x:c>
      <x:c r="L13" s="12" t="str">
        <x:v>保留为Auto候选</x:v>
      </x:c>
      <x:c r="M13" s="12" t="str">
        <x:v>有的部分公司股 份进行质押的事项，对芭薇股份、实际控制人冷群英、董事会秘书单楠采取口头警示 的自律监管措施。 2023 年 8 月 10 日，全国股转公司下达《关于对广东芭薇生物科技股份有限公司 相关责任主体采取自律监管措施的决定》 （股转融资并购函[2023]7 号）,因公司 2018 年第一次定向发行时，对股份回购等特殊投资条款未履行相关信息披露的...</x:v>
      </x:c>
    </x:row>
    <x:row r="14" ht="38" customHeight="1">
      <x:c r="A14" s="12" t="str">
        <x:v>W13-920123-009</x:v>
      </x:c>
      <x:c r="B14" s="12" t="str">
        <x:v>920123</x:v>
      </x:c>
      <x:c r="C14" s="12" t="str">
        <x:v>芭薇股份</x:v>
      </x:c>
      <x:c r="D14" s="12" t="str">
        <x:v>股权转让</x:v>
      </x:c>
      <x:c r="E14" s="12" t="n">
        <x:v>57</x:v>
      </x:c>
      <x:c r="F14" s="12" t="str">
        <x:v>股份回购</x:v>
      </x:c>
      <x:c r="G14" s="12" t="str">
        <x:v>2018 年 1 月 9 日</x:v>
      </x:c>
      <x:c r="H14" s="12" t="str"/>
      <x:c r="I14" s="12" t="str"/>
      <x:c r="J14" s="12" t="str">
        <x:v>8%</x:v>
      </x:c>
      <x:c r="K14" s="12" t="str">
        <x:v>中</x:v>
      </x:c>
      <x:c r="L14" s="12" t="str">
        <x:v>保留为Auto候选</x:v>
      </x:c>
      <x:c r="M14" s="12" t="str">
        <x:v>8 年第一次股票定向发行中涉及的特殊投资条款 （1）特殊投资条款情况 2018 年 1 月 9 日，冷群英、刘瑞学、冷智刚（合称为“乙方”/“回购方”）与杭 州叩问、南海同赢、卢跃华（合称为“甲方”）签署了《广东芭薇生物科技股份有限公 司股票认购协议之补充协议》（以下简称“《补充协议》”），涉及股份回购等特殊投资条 款的主要内容如下： 条款编号 条款具...</x:v>
      </x:c>
    </x:row>
    <x:row r="15" ht="38" customHeight="1">
      <x:c r="A15" s="12" t="str">
        <x:v>W13-920123-010</x:v>
      </x:c>
      <x:c r="B15" s="12" t="str">
        <x:v>920123</x:v>
      </x:c>
      <x:c r="C15" s="12" t="str">
        <x:v>芭薇股份</x:v>
      </x:c>
      <x:c r="D15" s="12" t="str">
        <x:v>股权转让</x:v>
      </x:c>
      <x:c r="E15" s="12" t="n">
        <x:v>58</x:v>
      </x:c>
      <x:c r="F15" s="12" t="str">
        <x:v>股份回购</x:v>
      </x:c>
      <x:c r="G15" s="12" t="str">
        <x:v>2021 年 10 月 25 日</x:v>
      </x:c>
      <x:c r="H15" s="12" t="str"/>
      <x:c r="I15" s="12" t="str"/>
      <x:c r="J15" s="12" t="str">
        <x:v>8%</x:v>
      </x:c>
      <x:c r="K15" s="12" t="str">
        <x:v>中</x:v>
      </x:c>
      <x:c r="L15" s="12" t="str">
        <x:v>保留为Auto候选</x:v>
      </x:c>
      <x:c r="M15" s="12" t="str">
        <x:v>向发行中涉及的特殊投资条款 （1）与云美产投签订的补充协议涉及的特殊投资条款 1）特殊投资条款情况 2021 年 10 月 25 日，冷群英、刘瑞学（合称为“乙方”）与云美产投（简称“甲 方”）签署了《关于 &lt;广东芭薇生物科技股份有限公司 &gt;之补充协议》 （以下简称 “《补充协议》”） ，涉及股份回购等特殊投资条款的主要内容如下： 条款编号 条款具体内...</x:v>
      </x:c>
    </x:row>
    <x:row r="16" ht="38" customHeight="1">
      <x:c r="A16" s="12" t="str">
        <x:v>W13-920123-011</x:v>
      </x:c>
      <x:c r="B16" s="12" t="str">
        <x:v>920123</x:v>
      </x:c>
      <x:c r="C16" s="12" t="str">
        <x:v>芭薇股份</x:v>
      </x:c>
      <x:c r="D16" s="12" t="str">
        <x:v>股权转让</x:v>
      </x:c>
      <x:c r="E16" s="12" t="n">
        <x:v>36</x:v>
      </x:c>
      <x:c r="F16" s="12" t="str">
        <x:v>股份转让</x:v>
      </x:c>
      <x:c r="G16" s="12" t="str">
        <x:v>2021 年 8 月 9 日</x:v>
      </x:c>
      <x:c r="H16" s="12" t="str">
        <x:v>1,285,319.00 元</x:v>
      </x:c>
      <x:c r="I16" s="12" t="str">
        <x:v>1,285,319 股</x:v>
      </x:c>
      <x:c r="J16" s="12" t="str"/>
      <x:c r="K16" s="12" t="str">
        <x:v>低</x:v>
      </x:c>
      <x:c r="L16" s="12" t="str">
        <x:v>排除为转让系统语境</x:v>
      </x:c>
      <x:c r="M16" s="12" t="str">
        <x:v>民币 1,285,319.00 元，计入资本公积合计人民币 2,570,638.00 元。此次变更后，公 司注册资本为 66,645,319.00 元，实收资本为 66,645,319.00 元。 2021 年 8 月 9 日，芭薇股份披露《股票定向发行情况报告书》及《股票定向发行 新增股份在全国股份转让系统挂牌并公开转让的公告》 ，公司2021 年第...</x:v>
      </x:c>
    </x:row>
    <x:row r="17" ht="38" customHeight="1">
      <x:c r="A17" s="12" t="str">
        <x:v>W13-920123-012</x:v>
      </x:c>
      <x:c r="B17" s="12" t="str">
        <x:v>920123</x:v>
      </x:c>
      <x:c r="C17" s="12" t="str">
        <x:v>芭薇股份</x:v>
      </x:c>
      <x:c r="D17" s="12" t="str">
        <x:v>股权转让</x:v>
      </x:c>
      <x:c r="E17" s="12" t="n">
        <x:v>37</x:v>
      </x:c>
      <x:c r="F17" s="12" t="str">
        <x:v>股份转让</x:v>
      </x:c>
      <x:c r="G17" s="12" t="str">
        <x:v>2021 年 11 月 19 日</x:v>
      </x:c>
      <x:c r="H17" s="12" t="str">
        <x:v>55 万元</x:v>
      </x:c>
      <x:c r="I17" s="12" t="str">
        <x:v>9,954,681 股</x:v>
      </x:c>
      <x:c r="J17" s="12" t="str"/>
      <x:c r="K17" s="12" t="str">
        <x:v>低</x:v>
      </x:c>
      <x:c r="L17" s="12" t="str">
        <x:v>排除为转让系统语境</x:v>
      </x:c>
      <x:c r="M17" s="12" t="str">
        <x:v>55 万元认购芭薇 股份新增人民币 252.6110 万元注册资本、锦盛新材以人民币 300 万元认购芭薇股份新 增人民币 28.5714 万元注册资本，并约定了本次增资的先决条件、增资完成日、税费 承担、融资用途、过渡期安排等事项，协议自本次增资事宜获得公司董事会及股东大 会批准、取得全国中小企业股份转让系统关于本次增资发行股票的无异议函及取得中 国...</x:v>
      </x:c>
    </x:row>
    <x:row r="18" ht="38" customHeight="1">
      <x:c r="A18" s="12" t="str">
        <x:v>W13-920123-013</x:v>
      </x:c>
      <x:c r="B18" s="12" t="str">
        <x:v>920123</x:v>
      </x:c>
      <x:c r="C18" s="12" t="str">
        <x:v>芭薇股份</x:v>
      </x:c>
      <x:c r="D18" s="12" t="str">
        <x:v>股权转让</x:v>
      </x:c>
      <x:c r="E18" s="12" t="n">
        <x:v>60</x:v>
      </x:c>
      <x:c r="F18" s="12" t="str">
        <x:v>股份回购</x:v>
      </x:c>
      <x:c r="G18" s="12" t="str">
        <x:v>2021 年 10 月 25 日</x:v>
      </x:c>
      <x:c r="H18" s="12" t="str"/>
      <x:c r="I18" s="12" t="str"/>
      <x:c r="J18" s="12" t="str">
        <x:v>8%</x:v>
      </x:c>
      <x:c r="K18" s="12" t="str">
        <x:v>中</x:v>
      </x:c>
      <x:c r="L18" s="12" t="str">
        <x:v>保留为Auto候选</x:v>
      </x:c>
      <x:c r="M18" s="12" t="str">
        <x:v>履行不存在任何争议、纠纷或潜在纠纷。 （2）与联明投资、锦盛新材签订的补充协议涉及的特殊投资条款 1）特殊投资条款情况 2021 年 10 月 25 日，冷群英、刘瑞学（合称为“乙方”）与联明投资、锦盛新材 （合称“甲方”）签署了《关于 &lt;广东芭薇生物科技股份有限公司 &gt;之补充协议》 ，涉 及股份回购等特殊投资条款的主要内容如下： 条款编号 条款具体内...</x:v>
      </x:c>
    </x:row>
    <x:row r="19" ht="38" customHeight="1">
      <x:c r="A19" s="12" t="str">
        <x:v>W13-920123-014</x:v>
      </x:c>
      <x:c r="B19" s="12" t="str">
        <x:v>920123</x:v>
      </x:c>
      <x:c r="C19" s="12" t="str">
        <x:v>芭薇股份</x:v>
      </x:c>
      <x:c r="D19" s="12" t="str">
        <x:v>股权转让</x:v>
      </x:c>
      <x:c r="E19" s="12" t="n">
        <x:v>59</x:v>
      </x:c>
      <x:c r="F19" s="12" t="str">
        <x:v>股权转让</x:v>
      </x:c>
      <x:c r="G19" s="12" t="str">
        <x:v>2023 年 5 月 15 日</x:v>
      </x:c>
      <x:c r="H19" s="12" t="str"/>
      <x:c r="I19" s="12" t="str"/>
      <x:c r="J19" s="12" t="str"/>
      <x:c r="K19" s="12" t="str">
        <x:v>中</x:v>
      </x:c>
      <x:c r="L19" s="12" t="str">
        <x:v>保留为Auto候选</x:v>
      </x:c>
      <x:c r="M19" s="12" t="str">
        <x:v>任何 新股（或可转换为股权的证券票据）或进行任何形式的增资，且该 等新股或增资的单价（新股价格）低于甲方本次投资的单价，则作 为一项反稀释保护措施，甲方有权要求乙方承担反稀释义务，对甲 方进行现金差额补偿，按照本次增资甲方的认购价格与后续增资或 者转让的投资单价差额乘以甲方持有的公司股份。 第五条股权转让限制 未经甲方书面同意，乙方不得向除甲方以外的其...</x:v>
      </x:c>
    </x:row>
    <x:row r="20" ht="38" customHeight="1">
      <x:c r="A20" s="12" t="str">
        <x:v>W13-920123-015</x:v>
      </x:c>
      <x:c r="B20" s="12" t="str">
        <x:v>920123</x:v>
      </x:c>
      <x:c r="C20" s="12" t="str">
        <x:v>芭薇股份</x:v>
      </x:c>
      <x:c r="D20" s="12" t="str">
        <x:v>股权转让</x:v>
      </x:c>
      <x:c r="E20" s="12" t="n">
        <x:v>61</x:v>
      </x:c>
      <x:c r="F20" s="12" t="str">
        <x:v>股权转让</x:v>
      </x:c>
      <x:c r="G20" s="12" t="str">
        <x:v>2023 年 6 月 5 日</x:v>
      </x:c>
      <x:c r="H20" s="12" t="str"/>
      <x:c r="I20" s="12" t="str"/>
      <x:c r="J20" s="12" t="str"/>
      <x:c r="K20" s="12" t="str">
        <x:v>中</x:v>
      </x:c>
      <x:c r="L20" s="12" t="str">
        <x:v>保留为Auto候选</x:v>
      </x:c>
      <x:c r="M20" s="12" t="str">
        <x:v>新股（或可转换为股权的证券票据）或进行任何形式的增资，且该 等新股或增资的单价（新股价格）低于甲方本次投资的单价，则作 为一项反稀释保护措施，甲方有权要求乙方承担反稀释义务，对甲 方进行现金差额补偿，按照本次增资甲方的认购价格与后续增资或 者转让的投资单价差额乘以甲方持有的标的公司股份。 第五条股权转让限制 未经甲方书面同意，乙方不得向除甲方以外的其他...</x:v>
      </x:c>
    </x:row>
    <x:row r="21" ht="38" customHeight="1">
      <x:c r="A21" s="12" t="str">
        <x:v>W13-920123-016</x:v>
      </x:c>
      <x:c r="B21" s="12" t="str">
        <x:v>920123</x:v>
      </x:c>
      <x:c r="C21" s="12" t="str">
        <x:v>芭薇股份</x:v>
      </x:c>
      <x:c r="D21" s="12" t="str">
        <x:v>股权转让</x:v>
      </x:c>
      <x:c r="E21" s="12" t="n">
        <x:v>33</x:v>
      </x:c>
      <x:c r="F21" s="12" t="str">
        <x:v>股份回购</x:v>
      </x:c>
      <x:c r="G21" s="12" t="str">
        <x:v>2023 年 8 月 10 日</x:v>
      </x:c>
      <x:c r="H21" s="12" t="str"/>
      <x:c r="I21" s="12" t="str"/>
      <x:c r="J21" s="12" t="str"/>
      <x:c r="K21" s="12" t="str">
        <x:v>中</x:v>
      </x:c>
      <x:c r="L21" s="12" t="str">
        <x:v>保留为Auto候选</x:v>
      </x:c>
      <x:c r="M21" s="12" t="str">
        <x:v>份进行质押的事项，对芭薇股份、实际控制人冷群英、董事会秘书单楠采取口头警示 的自律监管措施。 2023 年 8 月 10 日，全国股转公司下达《关于对广东芭薇生物科技股份有限公司 相关责任主体采取自律监管措施的决定》 （股转融资并购函[2023]7 号）,因公司 2018 年第一次定向发行时，对股份回购等特殊投资条款未履行相关信息披露的义务，对实 际控...</x:v>
      </x:c>
    </x:row>
    <x:row r="22" ht="38" customHeight="1">
      <x:c r="A22" s="12" t="str">
        <x:v>W13-920123-017</x:v>
      </x:c>
      <x:c r="B22" s="12" t="str">
        <x:v>920123</x:v>
      </x:c>
      <x:c r="C22" s="12" t="str">
        <x:v>芭薇股份</x:v>
      </x:c>
      <x:c r="D22" s="12" t="str">
        <x:v>股权快照</x:v>
      </x:c>
      <x:c r="E22" s="12" t="n">
        <x:v>5</x:v>
      </x:c>
      <x:c r="F22" s="12" t="str">
        <x:v>持股比例</x:v>
      </x:c>
      <x:c r="G22" s="12" t="str"/>
      <x:c r="H22" s="12" t="str"/>
      <x:c r="I22" s="12" t="str"/>
      <x:c r="J22" s="12" t="str"/>
      <x:c r="K22" s="12" t="str">
        <x:v>低</x:v>
      </x:c>
      <x:c r="L22" s="12" t="str">
        <x:v>保留为Auto候选</x:v>
      </x:c>
      <x:c r="M22" s="12" t="str">
        <x:v>司、主要股东、董事、监事、高级管理人员等作 出的重要承诺以及未能履行承诺的约束措施，具体承诺事项详见本招股说明书 “第四 节发行人基本情况”之“九、重要承诺”相关内容。 二、关于发行前滚存利润的分配安排 为兼顾新老股东的利益，公司在本次公开发行股票完成后，滚存的未分配利润将 由新老股东按发行后的持股比例共同享有。 三、本次公开发行股票并在北京证券交易所...</x:v>
      </x:c>
    </x:row>
    <x:row r="23" ht="38" customHeight="1">
      <x:c r="A23" s="12" t="str">
        <x:v>W13-920123-018</x:v>
      </x:c>
      <x:c r="B23" s="12" t="str">
        <x:v>920123</x:v>
      </x:c>
      <x:c r="C23" s="12" t="str">
        <x:v>芭薇股份</x:v>
      </x:c>
      <x:c r="D23" s="12" t="str">
        <x:v>股权快照</x:v>
      </x:c>
      <x:c r="E23" s="12" t="n">
        <x:v>49</x:v>
      </x:c>
      <x:c r="F23" s="12" t="str">
        <x:v>股本结构</x:v>
      </x:c>
      <x:c r="G23" s="12" t="str">
        <x:v>2023 年 9 月 12 日</x:v>
      </x:c>
      <x:c r="H23" s="12" t="str"/>
      <x:c r="I23" s="12" t="str">
        <x:v>76,600,000 股</x:v>
      </x:c>
      <x:c r="J23" s="12" t="str">
        <x:v>9.46%</x:v>
      </x:c>
      <x:c r="K23" s="12" t="str">
        <x:v>中</x:v>
      </x:c>
      <x:c r="L23" s="12" t="str">
        <x:v>保留为Auto候选</x:v>
      </x:c>
      <x:c r="M23" s="12" t="str">
        <x:v>年停止实际经营。2023 年 9 月 12 日，雅高丽已完成注销手续并取得《企业核准 注销登记通知书》 （编号：（穗）市监内销字【2023】第 11202309120375 号）。 除上述情况外，发行人的控股股东、实际控制人未控制其他企业。 (5) 发行人股本情况 （一） 本次发行前后的股本结构情况 截至本招股说明书签署日，发行人股份总数为 76,60...</x:v>
      </x:c>
    </x:row>
    <x:row r="24" ht="38" customHeight="1">
      <x:c r="A24" s="12" t="str">
        <x:v>W13-920123-019</x:v>
      </x:c>
      <x:c r="B24" s="12" t="str">
        <x:v>920123</x:v>
      </x:c>
      <x:c r="C24" s="12" t="str">
        <x:v>芭薇股份</x:v>
      </x:c>
      <x:c r="D24" s="12" t="str">
        <x:v>股权快照</x:v>
      </x:c>
      <x:c r="E24" s="12" t="n">
        <x:v>50</x:v>
      </x:c>
      <x:c r="F24" s="12" t="str">
        <x:v>前十名股东</x:v>
      </x:c>
      <x:c r="G24" s="12" t="str"/>
      <x:c r="H24" s="12" t="str"/>
      <x:c r="I24" s="12" t="str"/>
      <x:c r="J24" s="12" t="str">
        <x:v>61.54%</x:v>
      </x:c>
      <x:c r="K24" s="12" t="str">
        <x:v>低</x:v>
      </x:c>
      <x:c r="L24" s="12" t="str">
        <x:v>保留为Auto候选</x:v>
      </x:c>
      <x:c r="M24" s="12" t="str">
        <x:v>冷智刚担任执行事务合伙人的有限合伙企业，冷智刚持有 61.54%出资份额，冷群英的女儿冷沁园持有 12.02%出资份 额，冷群英、冷智刚的哥哥冷智勇持有 9.62%出资份额，冷 智刚配偶卢曦的弟弟卢晓持有 9.62%出资份额，刘瑞学的弟 弟刘飞持有 7.21%出资份额 （三） 本次发行前公司前十名股东情况 序号 股东姓名/名称 担任职务 持股数量（万股...</x:v>
      </x:c>
    </x:row>
    <x:row r="25" ht="38" customHeight="1">
      <x:c r="A25" s="12" t="str">
        <x:v>W13-920123-020</x:v>
      </x:c>
      <x:c r="B25" s="12" t="str">
        <x:v>920123</x:v>
      </x:c>
      <x:c r="C25" s="12" t="str">
        <x:v>芭薇股份</x:v>
      </x:c>
      <x:c r="D25" s="12" t="str">
        <x:v>基金备案</x:v>
      </x:c>
      <x:c r="E25" s="12" t="n">
        <x:v>47</x:v>
      </x:c>
      <x:c r="F25" s="12" t="str">
        <x:v>私募投资基金</x:v>
      </x:c>
      <x:c r="G25" s="12" t="str">
        <x:v>2017年7月20日</x:v>
      </x:c>
      <x:c r="H25" s="12" t="str">
        <x:v>42,105.259 万元</x:v>
      </x:c>
      <x:c r="I25" s="12" t="str"/>
      <x:c r="J25" s="12" t="str"/>
      <x:c r="K25" s="12" t="str">
        <x:v>高</x:v>
      </x:c>
      <x:c r="L25" s="12" t="str">
        <x:v>保留为Auto候选</x:v>
      </x:c>
      <x:c r="M25" s="12" t="str">
        <x:v>投资；投资咨询。（以上经营范围法律、行政法规 、国务院规定禁止的项目除外，限制的项目须取得许可后方可 经营） 营业期限 2017年7月20日至2025年7月19日 与发 行人主营业务的关系 主营业务为股权投资，与发行人主营业务无关系 南海同赢为私募基金，于 2017 年 11 月 14 日完成私募投资基金备案，备案编码为 SY1117。 南海同赢的基金...</x:v>
      </x:c>
    </x:row>
    <x:row r="26" ht="38" customHeight="1">
      <x:c r="A26" s="12" t="str">
        <x:v>W13-920123-021</x:v>
      </x:c>
      <x:c r="B26" s="12" t="str">
        <x:v>920123</x:v>
      </x:c>
      <x:c r="C26" s="12" t="str">
        <x:v>芭薇股份</x:v>
      </x:c>
      <x:c r="D26" s="12" t="str">
        <x:v>基金备案</x:v>
      </x:c>
      <x:c r="E26" s="12" t="n">
        <x:v>44</x:v>
      </x:c>
      <x:c r="F26" s="12" t="str">
        <x:v>私募投资基金</x:v>
      </x:c>
      <x:c r="G26" s="12" t="str">
        <x:v>2021年7月20日</x:v>
      </x:c>
      <x:c r="H26" s="12" t="str">
        <x:v>20,000 万元</x:v>
      </x:c>
      <x:c r="I26" s="12" t="str"/>
      <x:c r="J26" s="12" t="str"/>
      <x:c r="K26" s="12" t="str">
        <x:v>高</x:v>
      </x:c>
      <x:c r="L26" s="12" t="str">
        <x:v>保留为Auto候选</x:v>
      </x:c>
      <x:c r="M26" s="12" t="str">
        <x:v>行事务合伙人 广州市白云投资基金管理有限公司 注册地址 广州市白云区齐心路66号 经营范围 以自有资金从事投资活动 营业期限 2021年7月20日至无固定期限 与发 行人主营业务的关系 主营业务为股权投资，与发行人主营业务无关系 云美产投为私募基金，于 2021 年 10 月 18 日完成私募投资基金备案，备案编码为 SSW562。 云美产投的基金管理...</x:v>
      </x:c>
    </x:row>
    <x:row r="27" ht="38" customHeight="1">
      <x:c r="A27" s="12" t="str">
        <x:v>W13-920123-022</x:v>
      </x:c>
      <x:c r="B27" s="12" t="str">
        <x:v>920123</x:v>
      </x:c>
      <x:c r="C27" s="12" t="str">
        <x:v>芭薇股份</x:v>
      </x:c>
      <x:c r="D27" s="12" t="str">
        <x:v>基金备案</x:v>
      </x:c>
      <x:c r="E27" s="12" t="n">
        <x:v>45</x:v>
      </x:c>
      <x:c r="F27" s="12" t="str">
        <x:v>私募投资基金</x:v>
      </x:c>
      <x:c r="G27" s="12" t="str">
        <x:v>2017年6月13日</x:v>
      </x:c>
      <x:c r="H27" s="12" t="str">
        <x:v>3,000 万元</x:v>
      </x:c>
      <x:c r="I27" s="12" t="str"/>
      <x:c r="J27" s="12" t="str"/>
      <x:c r="K27" s="12" t="str">
        <x:v>高</x:v>
      </x:c>
      <x:c r="L27" s="12" t="str">
        <x:v>保留为Auto候选</x:v>
      </x:c>
      <x:c r="M27" s="12" t="str">
        <x:v>事向公众融 资存款、融资担保、代客理财等金融服务）。（依法须经批准的项目 ，经相关部门批准后方可开展经营活动） 营业期限 2017年6月13日至2025年6月12日 与发行人主营业务的关系 主营业务为股权投资，与发行人主营业务无关系 杭州叩问为私募基金，于 2017 年 11 月 20 日完成私募投资基金备案，备案编码为 SY1116。 杭州叩问的基金...</x:v>
      </x:c>
    </x:row>
    <x:row r="28" ht="38" customHeight="1">
      <x:c r="A28" s="12" t="str">
        <x:v>W13-920123-023</x:v>
      </x:c>
      <x:c r="B28" s="12" t="str">
        <x:v>920123</x:v>
      </x:c>
      <x:c r="C28" s="12" t="str">
        <x:v>芭薇股份</x:v>
      </x:c>
      <x:c r="D28" s="12" t="str">
        <x:v>特殊投资条款</x:v>
      </x:c>
      <x:c r="E28" s="12" t="n">
        <x:v>57</x:v>
      </x:c>
      <x:c r="F28" s="12" t="str">
        <x:v>特殊投资约定</x:v>
      </x:c>
      <x:c r="G28" s="12" t="str">
        <x:v>2018 年 1 月 9 日</x:v>
      </x:c>
      <x:c r="H28" s="12" t="str"/>
      <x:c r="I28" s="12" t="str"/>
      <x:c r="J28" s="12" t="str">
        <x:v>8%</x:v>
      </x:c>
      <x:c r="K28" s="12" t="str">
        <x:v>中</x:v>
      </x:c>
      <x:c r="L28" s="12" t="str">
        <x:v>保留为Auto候选</x:v>
      </x:c>
      <x:c r="M28" s="12" t="str">
        <x:v>1-1-56 （二）特殊投资约定等可能导致股权结构变化的事项 1、2018 年第一次股票定向发行中涉及的特殊投资条款 （1）特殊投资条款情况 2018 年 1 月 9 日，冷群英、刘瑞学、冷智刚（合称为“乙方”/“回购方”）与杭 州叩问、南海同赢、卢跃华（合称为“甲方”）签署了《广东芭薇生物科技股份有限公 司股票认购协议之补充协议》（以下简称“《补充协...</x:v>
      </x:c>
    </x:row>
    <x:row r="29" ht="38" customHeight="1">
      <x:c r="A29" s="12" t="str">
        <x:v>W13-920123-024</x:v>
      </x:c>
      <x:c r="B29" s="12" t="str">
        <x:v>920123</x:v>
      </x:c>
      <x:c r="C29" s="12" t="str">
        <x:v>芭薇股份</x:v>
      </x:c>
      <x:c r="D29" s="12" t="str">
        <x:v>特殊投资条款</x:v>
      </x:c>
      <x:c r="E29" s="12" t="n">
        <x:v>58</x:v>
      </x:c>
      <x:c r="F29" s="12" t="str">
        <x:v>对赌</x:v>
      </x:c>
      <x:c r="G29" s="12" t="str">
        <x:v>2021 年 10 月 25 日</x:v>
      </x:c>
      <x:c r="H29" s="12" t="str"/>
      <x:c r="I29" s="12" t="str"/>
      <x:c r="J29" s="12" t="str">
        <x:v>8%</x:v>
      </x:c>
      <x:c r="K29" s="12" t="str">
        <x:v>中</x:v>
      </x:c>
      <x:c r="L29" s="12" t="str">
        <x:v>保留为Auto候选</x:v>
      </x:c>
      <x:c r="M29" s="12" t="str">
        <x:v>1-1-57 权利条款等）均自始无效，不存在其他已触发但尚未履行的条款（包括但不限于对赌 条款、回购条款、甲方特别权利条款等） 。各方对于《股票认购协议书》 《补充协议》 的履行、终止，不存在争议、纠纷或潜在纠纷。除《股票认购协议书》 《补充协议》及 解除协议外，各方就目标公司股份未达成其他任何特殊权利义务的安排及约定。 上述回购事宜未对公司控制权及经...</x:v>
      </x:c>
    </x:row>
    <x:row r="30" ht="38" customHeight="1">
      <x:c r="A30" s="12" t="str">
        <x:v>W13-920123-025</x:v>
      </x:c>
      <x:c r="B30" s="12" t="str">
        <x:v>920123</x:v>
      </x:c>
      <x:c r="C30" s="12" t="str">
        <x:v>芭薇股份</x:v>
      </x:c>
      <x:c r="D30" s="12" t="str">
        <x:v>特殊投资条款</x:v>
      </x:c>
      <x:c r="E30" s="12" t="n">
        <x:v>36</x:v>
      </x:c>
      <x:c r="F30" s="12" t="str">
        <x:v>优先购买权</x:v>
      </x:c>
      <x:c r="G30" s="12" t="str"/>
      <x:c r="H30" s="12" t="str"/>
      <x:c r="I30" s="12" t="str"/>
      <x:c r="J30" s="12" t="str"/>
      <x:c r="K30" s="12" t="str">
        <x:v>低</x:v>
      </x:c>
      <x:c r="L30" s="12" t="str">
        <x:v>保留为Auto候选</x:v>
      </x:c>
      <x:c r="M30" s="12" t="str">
        <x:v>先决条件、增资完成日、税费承担、融资用途、 过渡期安排等事项，协议自本次增资事宜获得公司董事会及股东大会批准、取得全国 中小企业股份转让系统关于本次增资发行股票的无异议函及取得中国证监会核准批复 文件等全部条件满足后生效。 《&lt;广东芭薇生物科技股份有限公司之投资协议 &gt;之补充 协议》约定了项目退出、优先购买权和共同出售权、差额补偿承诺、现金补偿承诺、 ...</x:v>
      </x:c>
    </x:row>
    <x:row r="31" ht="38" customHeight="1">
      <x:c r="A31" s="12" t="str">
        <x:v>W13-920123-026</x:v>
      </x:c>
      <x:c r="B31" s="12" t="str">
        <x:v>920123</x:v>
      </x:c>
      <x:c r="C31" s="12" t="str">
        <x:v>芭薇股份</x:v>
      </x:c>
      <x:c r="D31" s="12" t="str">
        <x:v>特殊投资条款</x:v>
      </x:c>
      <x:c r="E31" s="12" t="n">
        <x:v>37</x:v>
      </x:c>
      <x:c r="F31" s="12" t="str">
        <x:v>优先购买权</x:v>
      </x:c>
      <x:c r="G31" s="12" t="str">
        <x:v>2021 年 11 月 19 日</x:v>
      </x:c>
      <x:c r="H31" s="12" t="str">
        <x:v>104,524,155.00 元</x:v>
      </x:c>
      <x:c r="I31" s="12" t="str">
        <x:v>9,954,681 股</x:v>
      </x:c>
      <x:c r="J31" s="12" t="str"/>
      <x:c r="K31" s="12" t="str">
        <x:v>中</x:v>
      </x:c>
      <x:c r="L31" s="12" t="str">
        <x:v>保留为Auto候选</x:v>
      </x:c>
      <x:c r="M31" s="12" t="str">
        <x:v>的先决条件、增资完成日、税费 承担、融资用途、过渡期安排等事项，协议自本次增资事宜获得公司董事会及股东大 会批准、取得全国中小企业股份转让系统关于本次增资发行股票的无异议函及取得中 国证监会核准批复文件等全部条件满足后生效。 《&lt;广东芭薇生物科技股份有限公司之 投资协议&gt;之补充协议》约定了项目退出、优先购买权和共同出售权、差额补偿承诺、 现金补偿承诺、...</x:v>
      </x:c>
    </x:row>
    <x:row r="32" ht="38" customHeight="1">
      <x:c r="A32" s="12" t="str">
        <x:v>W13-920123-027</x:v>
      </x:c>
      <x:c r="B32" s="12" t="str">
        <x:v>920123</x:v>
      </x:c>
      <x:c r="C32" s="12" t="str">
        <x:v>芭薇股份</x:v>
      </x:c>
      <x:c r="D32" s="12" t="str">
        <x:v>特殊投资条款</x:v>
      </x:c>
      <x:c r="E32" s="12" t="n">
        <x:v>60</x:v>
      </x:c>
      <x:c r="F32" s="12" t="str">
        <x:v>特殊投资条款</x:v>
      </x:c>
      <x:c r="G32" s="12" t="str">
        <x:v>2021 年 10 月 25 日</x:v>
      </x:c>
      <x:c r="H32" s="12" t="str"/>
      <x:c r="I32" s="12" t="str"/>
      <x:c r="J32" s="12" t="str">
        <x:v>8%</x:v>
      </x:c>
      <x:c r="K32" s="12" t="str">
        <x:v>中</x:v>
      </x:c>
      <x:c r="L32" s="12" t="str">
        <x:v>保留为Auto候选</x:v>
      </x:c>
      <x:c r="M32" s="12" t="str">
        <x:v>内容之甲方特殊投资权利条款均未触发，或虽触 发但甲方已豁免乙方相应义务 /责任，截至《补充协议（二） 》签署之日，不存在甲方 特殊投资权利条款已触发但尚未履行 /甲方未豁免情形，双方就《投资协议》 《补充协 议》的履行不存在任何争议、纠纷或潜在纠纷。 （2）与联明投资、锦盛新材签订的补充协议涉及的特殊投资条款 1）特殊投资条款情况 2021 年 10 ...</x:v>
      </x:c>
    </x:row>
    <x:row r="33" ht="38" customHeight="1">
      <x:c r="A33" s="12" t="str">
        <x:v>W13-920123-028</x:v>
      </x:c>
      <x:c r="B33" s="12" t="str">
        <x:v>920123</x:v>
      </x:c>
      <x:c r="C33" s="12" t="str">
        <x:v>芭薇股份</x:v>
      </x:c>
      <x:c r="D33" s="12" t="str">
        <x:v>特殊投资条款</x:v>
      </x:c>
      <x:c r="E33" s="12" t="n">
        <x:v>59</x:v>
      </x:c>
      <x:c r="F33" s="12" t="str">
        <x:v>反稀释</x:v>
      </x:c>
      <x:c r="G33" s="12" t="str">
        <x:v>2023 年 5 月 15 日</x:v>
      </x:c>
      <x:c r="H33" s="12" t="str"/>
      <x:c r="I33" s="12" t="str"/>
      <x:c r="J33" s="12" t="str">
        <x:v>8%</x:v>
      </x:c>
      <x:c r="K33" s="12" t="str">
        <x:v>中</x:v>
      </x:c>
      <x:c r="L33" s="12" t="str">
        <x:v>保留为Auto候选</x:v>
      </x:c>
      <x:c r="M33" s="12" t="str">
        <x:v>方的剩余资产不足投资款和投资款实际投 资期年化 8%的收益之和，差额部分由乙方进行补偿。 第四条现金补偿承诺 本次增资完成后，在首次公开发行股票并上市前，若公司发行任何 新股（或可转换为股权的证券票据）或进行任何形式的增资，且该 等新股或增资的单价（新股价格）低于甲方本次投资的单价，则作 为一项反稀释保护措施，甲方有权要求乙方承担反稀释义务，对甲 方进...</x:v>
      </x:c>
    </x:row>
    <x:row r="34" ht="38" customHeight="1">
      <x:c r="A34" s="12" t="str">
        <x:v>W13-920123-029</x:v>
      </x:c>
      <x:c r="B34" s="12" t="str">
        <x:v>920123</x:v>
      </x:c>
      <x:c r="C34" s="12" t="str">
        <x:v>芭薇股份</x:v>
      </x:c>
      <x:c r="D34" s="12" t="str">
        <x:v>特殊投资条款</x:v>
      </x:c>
      <x:c r="E34" s="12" t="n">
        <x:v>61</x:v>
      </x:c>
      <x:c r="F34" s="12" t="str">
        <x:v>反稀释</x:v>
      </x:c>
      <x:c r="G34" s="12" t="str">
        <x:v>2023 年 6 月 5 日</x:v>
      </x:c>
      <x:c r="H34" s="12" t="str"/>
      <x:c r="I34" s="12" t="str"/>
      <x:c r="J34" s="12" t="str">
        <x:v>8%</x:v>
      </x:c>
      <x:c r="K34" s="12" t="str">
        <x:v>中</x:v>
      </x:c>
      <x:c r="L34" s="12" t="str">
        <x:v>保留为Auto候选</x:v>
      </x:c>
      <x:c r="M34" s="12" t="str">
        <x:v>方的剩余资产不足投资款和投资款实际投 资期年化 8%的收益之和，差额部分由乙方进行补偿。 第四条现金补偿承诺 本次增资完成后，在首次公开发行股票并上市前，若公司发行任何 新股（或可转换为股权的证券票据）或进行任何形式的增资，且该 等新股或增资的单价（新股价格）低于甲方本次投资的单价，则作 为一项反稀释保护措施，甲方有权要求乙方承担反稀释义务，对甲 方进...</x:v>
      </x:c>
    </x:row>
    <x:row r="35" ht="38" customHeight="1">
      <x:c r="A35" s="12" t="str">
        <x:v>W13-920123-030</x:v>
      </x:c>
      <x:c r="B35" s="12" t="str">
        <x:v>920123</x:v>
      </x:c>
      <x:c r="C35" s="12" t="str">
        <x:v>芭薇股份</x:v>
      </x:c>
      <x:c r="D35" s="12" t="str">
        <x:v>特殊投资条款</x:v>
      </x:c>
      <x:c r="E35" s="12" t="n">
        <x:v>33</x:v>
      </x:c>
      <x:c r="F35" s="12" t="str">
        <x:v>特殊投资条款</x:v>
      </x:c>
      <x:c r="G35" s="12" t="str">
        <x:v>2023 年 8 月 10 日</x:v>
      </x:c>
      <x:c r="H35" s="12" t="str"/>
      <x:c r="I35" s="12" t="str"/>
      <x:c r="J35" s="12" t="str"/>
      <x:c r="K35" s="12" t="str">
        <x:v>中</x:v>
      </x:c>
      <x:c r="L35" s="12" t="str">
        <x:v>保留为Auto候选</x:v>
      </x:c>
      <x:c r="M35" s="12" t="str">
        <x:v>押的事项，对芭薇股份、实际控制人冷群英、董事会秘书单楠采取口头警示 的自律监管措施。 2023 年 8 月 10 日，全国股转公司下达《关于对广东芭薇生物科技股份有限公司 相关责任主体采取自律监管措施的决定》 （股转融资并购函[2023]7 号）,因公司 2018 年第一次定向发行时，对股份回购等特殊投资条款未履行相关信息披露的义务，对实 际控制人冷群...</x:v>
      </x:c>
    </x:row>
    <x:row r="36" ht="38" customHeight="1">
      <x:c r="A36" s="12" t="str">
        <x:v>W13-920575-001</x:v>
      </x:c>
      <x:c r="B36" s="12" t="str">
        <x:v>920575</x:v>
      </x:c>
      <x:c r="C36" s="12" t="str">
        <x:v>*ST康乐</x:v>
      </x:c>
      <x:c r="D36" s="12" t="str">
        <x:v>增资认缴</x:v>
      </x:c>
      <x:c r="E36" s="12" t="n">
        <x:v>65</x:v>
      </x:c>
      <x:c r="F36" s="12" t="str">
        <x:v>增资</x:v>
      </x:c>
      <x:c r="G36" s="12" t="str">
        <x:v>2010 年 4 月 1 日</x:v>
      </x:c>
      <x:c r="H36" s="12" t="str">
        <x:v>2 万元</x:v>
      </x:c>
      <x:c r="I36" s="12" t="str"/>
      <x:c r="J36" s="12" t="str">
        <x:v>36%</x:v>
      </x:c>
      <x:c r="K36" s="12" t="str">
        <x:v>中</x:v>
      </x:c>
      <x:c r="L36" s="12" t="str">
        <x:v>保留为Auto候选</x:v>
      </x:c>
      <x:c r="M36" s="12" t="str">
        <x:v>1-1-64 2010 年 4 月 1 日，北京经济技术开发区管理委员会印发《关于北京江林威 华生物技术有限公司申请增资并购的批复》 （京技管项审字[2010]46 号），同意 江林威华实行外资增资并购。 2010 年 4 月 1 日，北京市人民政府向江林威华出具《中华人民共和国外商 投资企业批准证书》（商外资京字[2010]18012 号）。 201...</x:v>
      </x:c>
    </x:row>
    <x:row r="37" ht="38" customHeight="1">
      <x:c r="A37" s="12" t="str">
        <x:v>W13-920575-002</x:v>
      </x:c>
      <x:c r="B37" s="12" t="str">
        <x:v>920575</x:v>
      </x:c>
      <x:c r="C37" s="12" t="str">
        <x:v>*ST康乐</x:v>
      </x:c>
      <x:c r="D37" s="12" t="str">
        <x:v>增资认缴</x:v>
      </x:c>
      <x:c r="E37" s="12" t="n">
        <x:v>93</x:v>
      </x:c>
      <x:c r="F37" s="12" t="str">
        <x:v>增资</x:v>
      </x:c>
      <x:c r="G37" s="12" t="str"/>
      <x:c r="H37" s="12" t="str">
        <x:v>98 万元</x:v>
      </x:c>
      <x:c r="I37" s="12" t="str"/>
      <x:c r="J37" s="12" t="str">
        <x:v>51%</x:v>
      </x:c>
      <x:c r="K37" s="12" t="str">
        <x:v>中</x:v>
      </x:c>
      <x:c r="L37" s="12" t="str">
        <x:v>保留为Auto候选</x:v>
      </x:c>
      <x:c r="M37" s="12" t="str">
        <x:v>51%（102 万 元） ， 刘永江出资49%（98 万元） 1 元/注 册资本 - 代持形成： 马润林、 刘 永江设立康乐有限并 共同持有陈小江、 马润 林、 刘永江股权， 陈小 江、 马润林、 刘永江的 实际投资比例分别为 40%、40%、20% 2008.10 康乐有限 股权转让 和增资 康乐有限注册资本从 200 万元增资至 10,000 万元...</x:v>
      </x:c>
    </x:row>
    <x:row r="38" ht="38" customHeight="1">
      <x:c r="A38" s="12" t="str">
        <x:v>W13-920575-003</x:v>
      </x:c>
      <x:c r="B38" s="12" t="str">
        <x:v>920575</x:v>
      </x:c>
      <x:c r="C38" s="12" t="str">
        <x:v>*ST康乐</x:v>
      </x:c>
      <x:c r="D38" s="12" t="str">
        <x:v>增资认缴</x:v>
      </x:c>
      <x:c r="E38" s="12" t="n">
        <x:v>67</x:v>
      </x:c>
      <x:c r="F38" s="12" t="str">
        <x:v>增资</x:v>
      </x:c>
      <x:c r="G38" s="12" t="str">
        <x:v>2021 年 12 月 31 日</x:v>
      </x:c>
      <x:c r="H38" s="12" t="str">
        <x:v>3,401 万元</x:v>
      </x:c>
      <x:c r="I38" s="12" t="str"/>
      <x:c r="J38" s="12" t="str"/>
      <x:c r="K38" s="12" t="str">
        <x:v>中</x:v>
      </x:c>
      <x:c r="L38" s="12" t="str">
        <x:v>保留为Auto候选</x:v>
      </x:c>
      <x:c r="M38" s="12" t="str">
        <x:v>，待小江生物现金流良好 后适时支付 3,401 万元。2020 年至 2021 年，小江生物通过减持康乐卫士股票获 得了现金收入，并向江林威华支付 3,401 万元。截至 2021 年 12 月 31 日，陈小 江、马润林、刘永江合计收到 3,401 万元。 ⑤2021 年 4 月，江林威华第二次增资 2021 年 4 月 16 日， 江林威华召开股东...</x:v>
      </x:c>
    </x:row>
    <x:row r="39" ht="38" customHeight="1">
      <x:c r="A39" s="12" t="str">
        <x:v>W13-920575-004</x:v>
      </x:c>
      <x:c r="B39" s="12" t="str">
        <x:v>920575</x:v>
      </x:c>
      <x:c r="C39" s="12" t="str">
        <x:v>*ST康乐</x:v>
      </x:c>
      <x:c r="D39" s="12" t="str">
        <x:v>增资认缴</x:v>
      </x:c>
      <x:c r="E39" s="12" t="n">
        <x:v>54</x:v>
      </x:c>
      <x:c r="F39" s="12" t="str">
        <x:v>认购</x:v>
      </x:c>
      <x:c r="G39" s="12" t="str">
        <x:v>2019 年 3 月 25 日</x:v>
      </x:c>
      <x:c r="H39" s="12" t="str">
        <x:v>50,710,000.00 元</x:v>
      </x:c>
      <x:c r="I39" s="12" t="str">
        <x:v>550 万股</x:v>
      </x:c>
      <x:c r="J39" s="12" t="str"/>
      <x:c r="K39" s="12" t="str">
        <x:v>中</x:v>
      </x:c>
      <x:c r="L39" s="12" t="str">
        <x:v>保留为Auto候选</x:v>
      </x:c>
      <x:c r="M39" s="12" t="str">
        <x:v>1-1-53 2019 年 3 月 25 日，亦庄生物与康乐卫士签署《股份认购协议》，亦庄生物 认购康乐卫士 550 万股股份。2019 年 4 月 19 日，中喜会计师事务所（特殊普通 合伙）出具《验资报告》（中喜验字（2019）第 0070 号），经审验，截至 2019 年 4 月 18 日止，公司非公开发行人民币普通股 550 万股，募集资金总额...</x:v>
      </x:c>
    </x:row>
    <x:row r="40" ht="38" customHeight="1">
      <x:c r="A40" s="12" t="str">
        <x:v>W13-920575-005</x:v>
      </x:c>
      <x:c r="B40" s="12" t="str">
        <x:v>920575</x:v>
      </x:c>
      <x:c r="C40" s="12" t="str">
        <x:v>*ST康乐</x:v>
      </x:c>
      <x:c r="D40" s="12" t="str">
        <x:v>增资认缴</x:v>
      </x:c>
      <x:c r="E40" s="12" t="n">
        <x:v>55</x:v>
      </x:c>
      <x:c r="F40" s="12" t="str">
        <x:v>认购</x:v>
      </x:c>
      <x:c r="G40" s="12" t="str">
        <x:v>2020 年 7 月</x:v>
      </x:c>
      <x:c r="H40" s="12" t="str">
        <x:v>65,010 万元</x:v>
      </x:c>
      <x:c r="I40" s="12" t="str">
        <x:v>3,300 万股</x:v>
      </x:c>
      <x:c r="J40" s="12" t="str"/>
      <x:c r="K40" s="12" t="str">
        <x:v>中</x:v>
      </x:c>
      <x:c r="L40" s="12" t="str">
        <x:v>保留为Auto候选</x:v>
      </x:c>
      <x:c r="M40" s="12" t="str">
        <x:v>1-1-54 用、购置其他固定资产和办公软件、归还借款本金及补充流动资金。 2020 年 7 月至 9 月，远望基金、丰德医学、滇中集团等 22 名合格投资者分 别与康乐卫士签署《股票认购协议》，共计认购康乐卫士 3,300 万股股份，募集 资金总额为 65,010 万元。2020 年 11 月 30 日，中喜会计师事务所（特殊普通合 伙）出具《验资报...</x:v>
      </x:c>
    </x:row>
    <x:row r="41" ht="38" customHeight="1">
      <x:c r="A41" s="12" t="str">
        <x:v>W13-920575-006</x:v>
      </x:c>
      <x:c r="B41" s="12" t="str">
        <x:v>920575</x:v>
      </x:c>
      <x:c r="C41" s="12" t="str">
        <x:v>*ST康乐</x:v>
      </x:c>
      <x:c r="D41" s="12" t="str">
        <x:v>增资认缴</x:v>
      </x:c>
      <x:c r="E41" s="12" t="n">
        <x:v>130</x:v>
      </x:c>
      <x:c r="F41" s="12" t="str">
        <x:v>定向发行</x:v>
      </x:c>
      <x:c r="G41" s="12" t="str">
        <x:v>2022 年 8 月 29 日</x:v>
      </x:c>
      <x:c r="H41" s="12" t="str"/>
      <x:c r="I41" s="12" t="str"/>
      <x:c r="J41" s="12" t="str"/>
      <x:c r="K41" s="12" t="str">
        <x:v>中</x:v>
      </x:c>
      <x:c r="L41" s="12" t="str">
        <x:v>保留为Auto候选</x:v>
      </x:c>
      <x:c r="M41" s="12" t="str">
        <x:v>诺与届时有关法律、行政法规、部门规章、 规范性文件以及北京证券交易所的业务规则等不一致或 存在冲突的，本人承诺遵照相关规定执行；如因本人违 反上述承诺给公司造成损失的，本人愿意依法承担相应 的赔偿责任。 2021 年定 向发 行认 购股 东 - 股份 锁定 承诺 本单位作为 2021 年定向发行的认购股东之一， 现本单位 就持有公司股份延长锁定期事项，...</x:v>
      </x:c>
    </x:row>
    <x:row r="42" ht="38" customHeight="1">
      <x:c r="A42" s="12" t="str">
        <x:v>W13-920575-007</x:v>
      </x:c>
      <x:c r="B42" s="12" t="str">
        <x:v>920575</x:v>
      </x:c>
      <x:c r="C42" s="12" t="str">
        <x:v>*ST康乐</x:v>
      </x:c>
      <x:c r="D42" s="12" t="str">
        <x:v>增资认缴</x:v>
      </x:c>
      <x:c r="E42" s="12" t="n">
        <x:v>105</x:v>
      </x:c>
      <x:c r="F42" s="12" t="str">
        <x:v>增资</x:v>
      </x:c>
      <x:c r="G42" s="12" t="str">
        <x:v>2021 年 3 月 18 日</x:v>
      </x:c>
      <x:c r="H42" s="12" t="str">
        <x:v>1,760 万元</x:v>
      </x:c>
      <x:c r="I42" s="12" t="str">
        <x:v>1,313,760 股</x:v>
      </x:c>
      <x:c r="J42" s="12" t="str">
        <x:v>60%</x:v>
      </x:c>
      <x:c r="K42" s="12" t="str">
        <x:v>中</x:v>
      </x:c>
      <x:c r="L42" s="12" t="str">
        <x:v>保留为Auto候选</x:v>
      </x:c>
      <x:c r="M42" s="12" t="str">
        <x:v>1-1-104 虑到周太峰（时任小江生物董事长）对小江生物发展的贡献，为了激励周太峰， 天狼星集团、 陈小江同意周太峰通过增资方式持有小江生物1,760 万元注册资本。 2021 年 3 月 18 日，根据周太峰、天狼星集团、小江生物、陈小江签署的《增资 协议》并经小江生物股东会决议通过，天狼星集团向小江生物增资 15,240 万元， 周太峰向小江生物...</x:v>
      </x:c>
    </x:row>
    <x:row r="43" ht="38" customHeight="1">
      <x:c r="A43" s="12" t="str">
        <x:v>W13-920575-008</x:v>
      </x:c>
      <x:c r="B43" s="12" t="str">
        <x:v>920575</x:v>
      </x:c>
      <x:c r="C43" s="12" t="str">
        <x:v>*ST康乐</x:v>
      </x:c>
      <x:c r="D43" s="12" t="str">
        <x:v>增资认缴</x:v>
      </x:c>
      <x:c r="E43" s="12" t="n">
        <x:v>69</x:v>
      </x:c>
      <x:c r="F43" s="12" t="str">
        <x:v>增资</x:v>
      </x:c>
      <x:c r="G43" s="12" t="str">
        <x:v>2021 年 11 月</x:v>
      </x:c>
      <x:c r="H43" s="12" t="str">
        <x:v>390,993.53 元</x:v>
      </x:c>
      <x:c r="I43" s="12" t="str"/>
      <x:c r="J43" s="12" t="str">
        <x:v>63.24%</x:v>
      </x:c>
      <x:c r="K43" s="12" t="str">
        <x:v>中</x:v>
      </x:c>
      <x:c r="L43" s="12" t="str">
        <x:v>保留为Auto候选</x:v>
      </x:c>
      <x:c r="M43" s="12" t="str">
        <x:v>16.22 63.24% 2 马润林 有限合伙人 83,783.78 16.76% 3 姚绵嵩 有限合伙人 50,000 10.00% 4 小江生物技术有限公司 有限合伙人 50,000 10.00% 合计 - 500,000.00 100.00% ⑦2021 年 11 月，江林威华第三次增资 2021 年 8 月 29 日，小江生物、刘永江、马润林、...</x:v>
      </x:c>
    </x:row>
    <x:row r="44" ht="38" customHeight="1">
      <x:c r="A44" s="12" t="str">
        <x:v>W13-920575-009</x:v>
      </x:c>
      <x:c r="B44" s="12" t="str">
        <x:v>920575</x:v>
      </x:c>
      <x:c r="C44" s="12" t="str">
        <x:v>*ST康乐</x:v>
      </x:c>
      <x:c r="D44" s="12" t="str">
        <x:v>股权转让</x:v>
      </x:c>
      <x:c r="E44" s="12" t="n">
        <x:v>65</x:v>
      </x:c>
      <x:c r="F44" s="12" t="str">
        <x:v>股权转让</x:v>
      </x:c>
      <x:c r="G44" s="12" t="str">
        <x:v>2011 年 1 月</x:v>
      </x:c>
      <x:c r="H44" s="12" t="str">
        <x:v>8,000 元</x:v>
      </x:c>
      <x:c r="I44" s="12" t="str"/>
      <x:c r="J44" s="12" t="str">
        <x:v>36%</x:v>
      </x:c>
      <x:c r="K44" s="12" t="str">
        <x:v>中</x:v>
      </x:c>
      <x:c r="L44" s="12" t="str">
        <x:v>保留为Auto候选</x:v>
      </x:c>
      <x:c r="M44" s="12" t="str">
        <x:v>5 日，江林威华办理了工商变更登记。本次变更完成后，江林 威华的股权结构为： 序号 股东 认缴出资额（元） 出资比例 1 刘永江 18,000 36% 2 马润林 12,000 24% 3 陈小江 20,000 40% 合计 50,000 100% ③2011 年 1 月，江林威华第一次股权转让 2010 年 12 月 18 日，江林威华股东刘永江和马...</x:v>
      </x:c>
    </x:row>
    <x:row r="45" ht="38" customHeight="1">
      <x:c r="A45" s="12" t="str">
        <x:v>W13-920575-010</x:v>
      </x:c>
      <x:c r="B45" s="12" t="str">
        <x:v>920575</x:v>
      </x:c>
      <x:c r="C45" s="12" t="str">
        <x:v>*ST康乐</x:v>
      </x:c>
      <x:c r="D45" s="12" t="str">
        <x:v>股权转让</x:v>
      </x:c>
      <x:c r="E45" s="12" t="n">
        <x:v>93</x:v>
      </x:c>
      <x:c r="F45" s="12" t="str">
        <x:v>股权转让</x:v>
      </x:c>
      <x:c r="G45" s="12" t="str"/>
      <x:c r="H45" s="12" t="str">
        <x:v>98 万元</x:v>
      </x:c>
      <x:c r="I45" s="12" t="str"/>
      <x:c r="J45" s="12" t="str">
        <x:v>51%</x:v>
      </x:c>
      <x:c r="K45" s="12" t="str">
        <x:v>中</x:v>
      </x:c>
      <x:c r="L45" s="12" t="str">
        <x:v>保留为Auto候选</x:v>
      </x:c>
      <x:c r="M45" s="12" t="str">
        <x:v>马润林出资 51%（102 万 元） ， 刘永江出资49%（98 万元） 1 元/注 册资本 - 代持形成： 马润林、 刘 永江设立康乐有限并 共同持有陈小江、 马润 林、 刘永江股权， 陈小 江、 马润林、 刘永江的 实际投资比例分别为 40%、40%、20% 2008.10 康乐有限 股权转让 和增资 康乐有限注册资本从 200 万元增资至 10,...</x:v>
      </x:c>
    </x:row>
    <x:row r="46" ht="38" customHeight="1">
      <x:c r="A46" s="12" t="str">
        <x:v>W13-920575-011</x:v>
      </x:c>
      <x:c r="B46" s="12" t="str">
        <x:v>920575</x:v>
      </x:c>
      <x:c r="C46" s="12" t="str">
        <x:v>*ST康乐</x:v>
      </x:c>
      <x:c r="D46" s="12" t="str">
        <x:v>股权转让</x:v>
      </x:c>
      <x:c r="E46" s="12" t="n">
        <x:v>67</x:v>
      </x:c>
      <x:c r="F46" s="12" t="str">
        <x:v>股权转让</x:v>
      </x:c>
      <x:c r="G46" s="12" t="str">
        <x:v>2010 年 6 月</x:v>
      </x:c>
      <x:c r="H46" s="12" t="str">
        <x:v>3,700 万元</x:v>
      </x:c>
      <x:c r="I46" s="12" t="str">
        <x:v>1,110 万股</x:v>
      </x:c>
      <x:c r="J46" s="12" t="str">
        <x:v>100%</x:v>
      </x:c>
      <x:c r="K46" s="12" t="str">
        <x:v>中</x:v>
      </x:c>
      <x:c r="L46" s="12" t="str">
        <x:v>保留为Auto候选</x:v>
      </x:c>
      <x:c r="M46" s="12" t="str">
        <x:v>1-1-66 序号 股东名称 认缴出资额（元） 出资比例 1 小江生物技术有限公司 50,000 100% 合计 50,000 100% 本次股权转让的原因系马润林、刘永江考虑发行人后续研发对资金需求较 高，研发周期长，前期研发投入较大且尚未实现较好的投资回报，且发行人虽拟 于新三板挂牌，但通过新三板实现投资退出存在不确定性，拟不再投资发行人； 鉴于本...</x:v>
      </x:c>
    </x:row>
    <x:row r="47" ht="38" customHeight="1">
      <x:c r="A47" s="12" t="str">
        <x:v>W13-920575-012</x:v>
      </x:c>
      <x:c r="B47" s="12" t="str">
        <x:v>920575</x:v>
      </x:c>
      <x:c r="C47" s="12" t="str">
        <x:v>*ST康乐</x:v>
      </x:c>
      <x:c r="D47" s="12" t="str">
        <x:v>股权转让</x:v>
      </x:c>
      <x:c r="E47" s="12" t="n">
        <x:v>54</x:v>
      </x:c>
      <x:c r="F47" s="12" t="str">
        <x:v>股份转让</x:v>
      </x:c>
      <x:c r="G47" s="12" t="str">
        <x:v>2019 年 4 月 18 日</x:v>
      </x:c>
      <x:c r="H47" s="12" t="str">
        <x:v>50,710,000.00 元</x:v>
      </x:c>
      <x:c r="I47" s="12" t="str">
        <x:v>550 万股</x:v>
      </x:c>
      <x:c r="J47" s="12" t="str"/>
      <x:c r="K47" s="12" t="str">
        <x:v>低</x:v>
      </x:c>
      <x:c r="L47" s="12" t="str">
        <x:v>排除为转让系统语境</x:v>
      </x:c>
      <x:c r="M47" s="12" t="str">
        <x:v>，中喜会计师事务所（特殊普通 合伙）出具《验资报告》（中喜验字（2019）第 0070 号），经审验，截至 2019 年 4 月 18 日止，公司非公开发行人民币普通股 550 万股，募集资金总额 50,710,000.00 元。 本次发行新增股份于 2019 年 6 月 14 日起在全国中小企业股份转让系统挂牌 并公开转让。 2、2019 年第二次股...</x:v>
      </x:c>
    </x:row>
    <x:row r="48" ht="38" customHeight="1">
      <x:c r="A48" s="12" t="str">
        <x:v>W13-920575-013</x:v>
      </x:c>
      <x:c r="B48" s="12" t="str">
        <x:v>920575</x:v>
      </x:c>
      <x:c r="C48" s="12" t="str">
        <x:v>*ST康乐</x:v>
      </x:c>
      <x:c r="D48" s="12" t="str">
        <x:v>股权转让</x:v>
      </x:c>
      <x:c r="E48" s="12" t="n">
        <x:v>55</x:v>
      </x:c>
      <x:c r="F48" s="12" t="str">
        <x:v>股份转让</x:v>
      </x:c>
      <x:c r="G48" s="12" t="str">
        <x:v>2020 年 11 月 29 日</x:v>
      </x:c>
      <x:c r="H48" s="12" t="str">
        <x:v>650,100,000.00 元</x:v>
      </x:c>
      <x:c r="I48" s="12" t="str">
        <x:v>3,300 万股</x:v>
      </x:c>
      <x:c r="J48" s="12" t="str"/>
      <x:c r="K48" s="12" t="str">
        <x:v>低</x:v>
      </x:c>
      <x:c r="L48" s="12" t="str">
        <x:v>排除为转让系统语境</x:v>
      </x:c>
      <x:c r="M48" s="12" t="str">
        <x:v>特殊普通合 伙）出具《验资报告》（中喜验字（2020）第 00170 号），经审验，截至 2020 年 11 月 29 日止，康乐卫士非公开发行人民币普通股 3,300 万股，募集资金总额 650,100,000.00 元。 本次定向发行新增股份于 2020 年 12 月 25 日起在全国中小企业股份转让系 统挂牌并公开转让。 4、2021 年第一次股...</x:v>
      </x:c>
    </x:row>
    <x:row r="49" ht="38" customHeight="1">
      <x:c r="A49" s="12" t="str">
        <x:v>W13-920575-014</x:v>
      </x:c>
      <x:c r="B49" s="12" t="str">
        <x:v>920575</x:v>
      </x:c>
      <x:c r="C49" s="12" t="str">
        <x:v>*ST康乐</x:v>
      </x:c>
      <x:c r="D49" s="12" t="str">
        <x:v>股权转让</x:v>
      </x:c>
      <x:c r="E49" s="12" t="n">
        <x:v>95</x:v>
      </x:c>
      <x:c r="F49" s="12" t="str">
        <x:v>转让给</x:v>
      </x:c>
      <x:c r="G49" s="12" t="str">
        <x:v>2010 年 5 月</x:v>
      </x:c>
      <x:c r="H49" s="12" t="str">
        <x:v>3,700 万元</x:v>
      </x:c>
      <x:c r="I49" s="12" t="str"/>
      <x:c r="J49" s="12" t="str">
        <x:v>37%</x:v>
      </x:c>
      <x:c r="K49" s="12" t="str">
        <x:v>高</x:v>
      </x:c>
      <x:c r="L49" s="12" t="str">
        <x:v>保留为Auto候选</x:v>
      </x:c>
      <x:c r="M49" s="12" t="str">
        <x:v>1-1-94 未实缴） 转让给马润林。 该次股权转让具体情况如下： 马润林受让深创投未实缴 的股权并履行出资义务系其三人内部协商确定愿意承担该等资金筹措的责任， 考 虑到三人创业初期的内部约定， 该等资金主要系马润林筹措而来， 由马润林受让 该部分股权，马润林完成本次实缴出资后，陈小江、马润林、刘永江三人合计持 有康乐有限 37%的股权， 三人持有的康...</x:v>
      </x:c>
    </x:row>
    <x:row r="50" ht="38" customHeight="1">
      <x:c r="A50" s="12" t="str">
        <x:v>W13-920575-015</x:v>
      </x:c>
      <x:c r="B50" s="12" t="str">
        <x:v>920575</x:v>
      </x:c>
      <x:c r="C50" s="12" t="str">
        <x:v>*ST康乐</x:v>
      </x:c>
      <x:c r="D50" s="12" t="str">
        <x:v>股权转让</x:v>
      </x:c>
      <x:c r="E50" s="12" t="n">
        <x:v>59</x:v>
      </x:c>
      <x:c r="F50" s="12" t="str">
        <x:v>股权转让</x:v>
      </x:c>
      <x:c r="G50" s="12" t="str">
        <x:v>2019 年 11 月</x:v>
      </x:c>
      <x:c r="H50" s="12" t="str"/>
      <x:c r="I50" s="12" t="str"/>
      <x:c r="J50" s="12" t="str">
        <x:v>81.60%</x:v>
      </x:c>
      <x:c r="K50" s="12" t="str">
        <x:v>中</x:v>
      </x:c>
      <x:c r="L50" s="12" t="str">
        <x:v>保留为Auto候选</x:v>
      </x:c>
      <x:c r="M50" s="12" t="str">
        <x:v>1-1-58 控制人为陶涛，天狼星集团上述股权转让完成前后，天狼星集团的股权结构如下： 序 号 股东 2019 年 11 月股权转让完成前 天狼星集团股权结构 2019 年 11 月股权转让完成后至本招 股书签署日天狼星集团股权结构 认缴出资额 （万元） 实缴出资额 （万元） 出资 比例 认缴出资额 （万元） 实缴出资额 （万元） 出资 比例 1 陶涛...</x:v>
      </x:c>
    </x:row>
    <x:row r="51" ht="38" customHeight="1">
      <x:c r="A51" s="12" t="str">
        <x:v>W13-920575-016</x:v>
      </x:c>
      <x:c r="B51" s="12" t="str">
        <x:v>920575</x:v>
      </x:c>
      <x:c r="C51" s="12" t="str">
        <x:v>*ST康乐</x:v>
      </x:c>
      <x:c r="D51" s="12" t="str">
        <x:v>股权转让</x:v>
      </x:c>
      <x:c r="E51" s="12" t="n">
        <x:v>66</x:v>
      </x:c>
      <x:c r="F51" s="12" t="str">
        <x:v>股权转让</x:v>
      </x:c>
      <x:c r="G51" s="12" t="str">
        <x:v>2011 年 1 月 14 日</x:v>
      </x:c>
      <x:c r="H51" s="12" t="str">
        <x:v>2 万元</x:v>
      </x:c>
      <x:c r="I51" s="12" t="str"/>
      <x:c r="J51" s="12" t="str">
        <x:v>20%</x:v>
      </x:c>
      <x:c r="K51" s="12" t="str">
        <x:v>中</x:v>
      </x:c>
      <x:c r="L51" s="12" t="str">
        <x:v>保留为Auto候选</x:v>
      </x:c>
      <x:c r="M51" s="12" t="str">
        <x:v>。 2011 年 1 月 14 日，江林威华办理了工商变更登记。本次变更完成后，江林 威华的股权结构为： 序号 股东姓名 认缴出资额（元） 出资比例 1 刘永江 10,000 20% 2 马润林 20,000 40% 3 陈小江 20,000 40% 合计 50,000 100% 本次股权转让系为还原三人约定的投资比例 ， 确保实际权益分配比例与工商 ...</x:v>
      </x:c>
    </x:row>
    <x:row r="52" ht="38" customHeight="1">
      <x:c r="A52" s="12" t="str">
        <x:v>W13-920575-017</x:v>
      </x:c>
      <x:c r="B52" s="12" t="str">
        <x:v>920575</x:v>
      </x:c>
      <x:c r="C52" s="12" t="str">
        <x:v>*ST康乐</x:v>
      </x:c>
      <x:c r="D52" s="12" t="str">
        <x:v>股权快照</x:v>
      </x:c>
      <x:c r="E52" s="12" t="n">
        <x:v>67</x:v>
      </x:c>
      <x:c r="F52" s="12" t="str">
        <x:v>持股比例</x:v>
      </x:c>
      <x:c r="G52" s="12" t="str">
        <x:v>2010 年 6 月</x:v>
      </x:c>
      <x:c r="H52" s="12" t="str">
        <x:v>3.55 万元</x:v>
      </x:c>
      <x:c r="I52" s="12" t="str">
        <x:v>1,110 万股</x:v>
      </x:c>
      <x:c r="J52" s="12" t="str">
        <x:v>18.5%</x:v>
      </x:c>
      <x:c r="K52" s="12" t="str">
        <x:v>中</x:v>
      </x:c>
      <x:c r="L52" s="12" t="str">
        <x:v>保留为Auto候选</x:v>
      </x:c>
      <x:c r="M52" s="12" t="str">
        <x:v>持股平台，该等负债由小江生物代 江林威华支付，该等负债系 2010 年 6 月江林威华应向马润林、刘永江、陈小江 支付的股权转让对价 ，具体情况 参见本招股说明书之 “第四节 发行人基本情 况”之“五、发行人股本情况”之“（三）其他披露事项”。 考虑到当时江林威华持有发行人 1,110 万股股份（持股比例为 18.5%），且 截至 2014 年 12 ...</x:v>
      </x:c>
    </x:row>
    <x:row r="53" ht="38" customHeight="1">
      <x:c r="A53" s="12" t="str">
        <x:v>W13-920575-018</x:v>
      </x:c>
      <x:c r="B53" s="12" t="str">
        <x:v>920575</x:v>
      </x:c>
      <x:c r="C53" s="12" t="str">
        <x:v>*ST康乐</x:v>
      </x:c>
      <x:c r="D53" s="12" t="str">
        <x:v>股权快照</x:v>
      </x:c>
      <x:c r="E53" s="12" t="n">
        <x:v>94</x:v>
      </x:c>
      <x:c r="F53" s="12" t="str">
        <x:v>持股比例</x:v>
      </x:c>
      <x:c r="G53" s="12" t="str">
        <x:v>2008 年 4 月</x:v>
      </x:c>
      <x:c r="H53" s="12" t="str">
        <x:v>19.6 万元</x:v>
      </x:c>
      <x:c r="I53" s="12" t="str"/>
      <x:c r="J53" s="12" t="str">
        <x:v>0.196%</x:v>
      </x:c>
      <x:c r="K53" s="12" t="str">
        <x:v>中</x:v>
      </x:c>
      <x:c r="L53" s="12" t="str">
        <x:v>保留为Auto候选</x:v>
      </x:c>
      <x:c r="M53" s="12" t="str">
        <x:v>1-1-93 刘永江将其持有的康乐 有限 0.196%股权（对应 注册资本 19.6 万元） 转让 给江林威华 的代持， 变更持股主体 为江林威华， 且变更持 股方式， 即由直接持股 转为间接持股； 三人在 江林威华的持股比例 调整为 40%、40%、20% 2011.01 江林威华 股权转让 刘永江将其持有的江林 威华 8,000 元出资额（占 注册...</x:v>
      </x:c>
    </x:row>
    <x:row r="54" ht="38" customHeight="1">
      <x:c r="A54" s="12" t="str">
        <x:v>W13-920575-019</x:v>
      </x:c>
      <x:c r="B54" s="12" t="str">
        <x:v>920575</x:v>
      </x:c>
      <x:c r="C54" s="12" t="str">
        <x:v>*ST康乐</x:v>
      </x:c>
      <x:c r="D54" s="12" t="str">
        <x:v>股权快照</x:v>
      </x:c>
      <x:c r="E54" s="12" t="n">
        <x:v>92</x:v>
      </x:c>
      <x:c r="F54" s="12" t="str">
        <x:v>前十名股东</x:v>
      </x:c>
      <x:c r="G54" s="12" t="str"/>
      <x:c r="H54" s="12" t="str"/>
      <x:c r="I54" s="12" t="str">
        <x:v>30,218,000 股</x:v>
      </x:c>
      <x:c r="J54" s="12" t="str">
        <x:v>22.62%</x:v>
      </x:c>
      <x:c r="K54" s="12" t="str">
        <x:v>中</x:v>
      </x:c>
      <x:c r="L54" s="12" t="str">
        <x:v>保留为Auto候选</x:v>
      </x:c>
      <x:c r="M54" s="12" t="str">
        <x:v>1-1-91 限公司。 （二）本次发行前公司前十名股东情况 序号 股东姓名/名称 持股数量 （万股） 股权比例 （%） 股份性质 限售情况 1 天狼星控股集团 有限公司 3,021.8000 22.62% 三板限售股 限售 30,218,000 股 （股份锁定 承诺期间内） 2 北京江林威华生 物技术合伙企业 （有限合伙） 1,110.0000 8.3...</x:v>
      </x:c>
    </x:row>
    <x:row r="55" ht="38" customHeight="1">
      <x:c r="A55" s="12" t="str">
        <x:v>W13-920575-020</x:v>
      </x:c>
      <x:c r="B55" s="12" t="str">
        <x:v>920575</x:v>
      </x:c>
      <x:c r="C55" s="12" t="str">
        <x:v>*ST康乐</x:v>
      </x:c>
      <x:c r="D55" s="12" t="str">
        <x:v>股权快照</x:v>
      </x:c>
      <x:c r="E55" s="12" t="n">
        <x:v>102</x:v>
      </x:c>
      <x:c r="F55" s="12" t="str">
        <x:v>持股数量</x:v>
      </x:c>
      <x:c r="G55" s="12" t="str"/>
      <x:c r="H55" s="12" t="str"/>
      <x:c r="I55" s="12" t="str">
        <x:v>600 万股</x:v>
      </x:c>
      <x:c r="J55" s="12" t="str"/>
      <x:c r="K55" s="12" t="str">
        <x:v>中</x:v>
      </x:c>
      <x:c r="L55" s="12" t="str">
        <x:v>保留为Auto候选</x:v>
      </x:c>
      <x:c r="M55" s="12" t="str">
        <x:v>的积极 性， 对公司中高层管理人员及核心员工进行股权激励。 公司本次用于限制性股票 激励计划的股份数量为 600 万股。 （1）限制性股票激励计划授予的参与对象情况 本次激励对象共计 26 人，各激励对象获得激励股份数量如下： 序 号 激励对象 职务 认购额 （万元） 认购比例 （%） 拟持股数量 （万股） 1 郝春利 董事长、首席执行官 159.00...</x:v>
      </x:c>
    </x:row>
    <x:row r="56" ht="38" customHeight="1">
      <x:c r="A56" s="12" t="str">
        <x:v>W13-920575-021</x:v>
      </x:c>
      <x:c r="B56" s="12" t="str">
        <x:v>920575</x:v>
      </x:c>
      <x:c r="C56" s="12" t="str">
        <x:v>*ST康乐</x:v>
      </x:c>
      <x:c r="D56" s="12" t="str">
        <x:v>股权快照</x:v>
      </x:c>
      <x:c r="E56" s="12" t="n">
        <x:v>60</x:v>
      </x:c>
      <x:c r="F56" s="12" t="str">
        <x:v>持股比例</x:v>
      </x:c>
      <x:c r="G56" s="12" t="str">
        <x:v>2022 年 9 月 30 日</x:v>
      </x:c>
      <x:c r="H56" s="12" t="str">
        <x:v>22,000 万元</x:v>
      </x:c>
      <x:c r="I56" s="12" t="str">
        <x:v>416,660 股</x:v>
      </x:c>
      <x:c r="J56" s="12" t="str">
        <x:v>0.31%</x:v>
      </x:c>
      <x:c r="K56" s="12" t="str">
        <x:v>中</x:v>
      </x:c>
      <x:c r="L56" s="12" t="str">
        <x:v>保留为Auto候选</x:v>
      </x:c>
      <x:c r="M56" s="12" t="str">
        <x:v>1-1-59 1）小江生物基本信息 截至本招股说明书签署日，小江生物直接持有发行人 416,660 股股份，持股 比例为 0.31%，小江生物通过持有江林威华 5.61%合伙份额而间接持有康乐卫士 622,898 股股份，间接持股比例为 0.47%，小江生物合计持有康乐卫士 1,039,558 股股份，合计持股比例为 0.78%。小江生物为天狼星集团之...</x:v>
      </x:c>
    </x:row>
    <x:row r="57" ht="38" customHeight="1">
      <x:c r="A57" s="12" t="str">
        <x:v>W13-920575-022</x:v>
      </x:c>
      <x:c r="B57" s="12" t="str">
        <x:v>920575</x:v>
      </x:c>
      <x:c r="C57" s="12" t="str">
        <x:v>*ST康乐</x:v>
      </x:c>
      <x:c r="D57" s="12" t="str">
        <x:v>股权快照</x:v>
      </x:c>
      <x:c r="E57" s="12" t="n">
        <x:v>71</x:v>
      </x:c>
      <x:c r="F57" s="12" t="str">
        <x:v>持股比例</x:v>
      </x:c>
      <x:c r="G57" s="12" t="str">
        <x:v>2022 年 9 月 30 日</x:v>
      </x:c>
      <x:c r="H57" s="12" t="str">
        <x:v>26,000 万元</x:v>
      </x:c>
      <x:c r="I57" s="12" t="str"/>
      <x:c r="J57" s="12" t="str">
        <x:v>31.24%</x:v>
      </x:c>
      <x:c r="K57" s="12" t="str">
        <x:v>中</x:v>
      </x:c>
      <x:c r="L57" s="12" t="str">
        <x:v>保留为Auto候选</x:v>
      </x:c>
      <x:c r="M57" s="12" t="str">
        <x:v>制公司股份比 例为 31.24%，前述质押股份占控股股东所持发行人股份的比例约为 4.25%，占 控股股东及其一致行动人所持发行人股份的比例约为 3.08%， 占发行人股份总数 比例约为 0.96%，质押比例较小，不会对公司控制权的稳定性构成重大影响。 截至 2022 年 9 月 30 日，发行人持股比例 5%以上的主要股东所持发行人的 股份不存在其他...</x:v>
      </x:c>
    </x:row>
    <x:row r="58" ht="38" customHeight="1">
      <x:c r="A58" s="12" t="str">
        <x:v>W13-920575-023</x:v>
      </x:c>
      <x:c r="B58" s="12" t="str">
        <x:v>920575</x:v>
      </x:c>
      <x:c r="C58" s="12" t="str">
        <x:v>*ST康乐</x:v>
      </x:c>
      <x:c r="D58" s="12" t="str">
        <x:v>股权快照</x:v>
      </x:c>
      <x:c r="E58" s="12" t="n">
        <x:v>91</x:v>
      </x:c>
      <x:c r="F58" s="12" t="str">
        <x:v>股本结构</x:v>
      </x:c>
      <x:c r="G58" s="12" t="str">
        <x:v>2022 年 3 月 31 日</x:v>
      </x:c>
      <x:c r="H58" s="12" t="str"/>
      <x:c r="I58" s="12" t="str">
        <x:v>133,600,000 股</x:v>
      </x:c>
      <x:c r="J58" s="12" t="str"/>
      <x:c r="K58" s="12" t="str">
        <x:v>中</x:v>
      </x:c>
      <x:c r="L58" s="12" t="str">
        <x:v>保留为Auto候选</x:v>
      </x:c>
      <x:c r="M58" s="12" t="str">
        <x:v>1-1-90 五、 发行人股本情况 （一）本次发行前后的股本结构情况 本次发行前，公司总股数为 133,600,000 股，如不考虑超额配售选择权，本 次发行上市预计向公众发行不超过 7,000,000 股，本次发行完成后，共为不超过 140,600,000 股；如考虑完全行使超额配售选择权，本次发行上市预计向公众发 行不超过 8,050,000 股，...</x:v>
      </x:c>
    </x:row>
    <x:row r="59" ht="38" customHeight="1">
      <x:c r="A59" s="12" t="str">
        <x:v>W13-920575-024</x:v>
      </x:c>
      <x:c r="B59" s="12" t="str">
        <x:v>920575</x:v>
      </x:c>
      <x:c r="C59" s="12" t="str">
        <x:v>*ST康乐</x:v>
      </x:c>
      <x:c r="D59" s="12" t="str">
        <x:v>股权快照</x:v>
      </x:c>
      <x:c r="E59" s="12" t="n">
        <x:v>117</x:v>
      </x:c>
      <x:c r="F59" s="12" t="str">
        <x:v>持股比例</x:v>
      </x:c>
      <x:c r="G59" s="12" t="str">
        <x:v>2022 年 9 月 30 日</x:v>
      </x:c>
      <x:c r="H59" s="12" t="str"/>
      <x:c r="I59" s="12" t="str"/>
      <x:c r="J59" s="12" t="str"/>
      <x:c r="K59" s="12" t="str">
        <x:v>中</x:v>
      </x:c>
      <x:c r="L59" s="12" t="str">
        <x:v>保留为Auto候选</x:v>
      </x:c>
      <x:c r="M59" s="12" t="str">
        <x:v>1-1-116 （二）直接或间接持有发行人股份的情况 1、直接持股 截至 2022 年 9 月 30 日， 公司董事、 监事、 高级管理人员及其近亲属直接持 股份情况如下： 姓名 职务/亲属关系 持股数（股） 持股比例（%） 郝春利 董事长、首席执行官 1,590,000 1.1901 刘永江 董事、总经理 1,000,000 0.7485 王举闻 职...</x:v>
      </x:c>
    </x:row>
    <x:row r="60" ht="38" customHeight="1">
      <x:c r="A60" s="12" t="str">
        <x:v>W13-920575-025</x:v>
      </x:c>
      <x:c r="B60" s="12" t="str">
        <x:v>920575</x:v>
      </x:c>
      <x:c r="C60" s="12" t="str">
        <x:v>*ST康乐</x:v>
      </x:c>
      <x:c r="D60" s="12" t="str">
        <x:v>特殊投资条款</x:v>
      </x:c>
      <x:c r="E60" s="12" t="n">
        <x:v>65</x:v>
      </x:c>
      <x:c r="F60" s="12" t="str">
        <x:v>优先购买权</x:v>
      </x:c>
      <x:c r="G60" s="12" t="str">
        <x:v>2010 年 12 月 18 日</x:v>
      </x:c>
      <x:c r="H60" s="12" t="str">
        <x:v>8,000 元</x:v>
      </x:c>
      <x:c r="I60" s="12" t="str"/>
      <x:c r="J60" s="12" t="str">
        <x:v>16%</x:v>
      </x:c>
      <x:c r="K60" s="12" t="str">
        <x:v>中</x:v>
      </x:c>
      <x:c r="L60" s="12" t="str">
        <x:v>保留为Auto候选</x:v>
      </x:c>
      <x:c r="M60" s="12" t="str">
        <x:v>华第一次股权转让 2010 年 12 月 18 日，江林威华股东刘永江和马润林签订《股权转让协议》， 约定刘永江同意将其持有的江林威华 8,000 元出资额 （占注册资本的16%） 转让 给马润林。 同日， 江林威华召开董事会， 同意刘永江将其持有的江林威华16%的股权转 让给马润林，陈小江放弃优先购买权；同意相应修改公司章程。 2011 年 1 月 ...</x:v>
      </x:c>
    </x:row>
    <x:row r="61" ht="38" customHeight="1">
      <x:c r="A61" s="12" t="str">
        <x:v>W13-920575-026</x:v>
      </x:c>
      <x:c r="B61" s="12" t="str">
        <x:v>920575</x:v>
      </x:c>
      <x:c r="C61" s="12" t="str">
        <x:v>*ST康乐</x:v>
      </x:c>
      <x:c r="D61" s="12" t="str">
        <x:v>特殊投资条款</x:v>
      </x:c>
      <x:c r="E61" s="12" t="n">
        <x:v>109</x:v>
      </x:c>
      <x:c r="F61" s="12" t="str">
        <x:v>特殊投资约定</x:v>
      </x:c>
      <x:c r="G61" s="12" t="str">
        <x:v>2022 年 9 月 30 日</x:v>
      </x:c>
      <x:c r="H61" s="12" t="str"/>
      <x:c r="I61" s="12" t="str"/>
      <x:c r="J61" s="12" t="str"/>
      <x:c r="K61" s="12" t="str">
        <x:v>中</x:v>
      </x:c>
      <x:c r="L61" s="12" t="str">
        <x:v>保留为Auto候选</x:v>
      </x:c>
      <x:c r="M61" s="12" t="str">
        <x:v>1-1-108 补充协议的形式终止， 相关协议自动终止且自始无效， 对各方不具有约束力， 该 等终止是永久、无条件、不可撤销且不再恢复的。 综上所述，上述做市股票转售约定未对实际控制人控制权造成重大不利影响。 （三） 发行人控股股东、 实际控制人与其他股东签署的特殊投资约定及其解除情况 发行人股东通过 2019 年公司第一次股票发行、2020 年公司第...</x:v>
      </x:c>
    </x:row>
    <x:row r="62" ht="38" customHeight="1">
      <x:c r="A62" s="12" t="str">
        <x:v>W13-920575-027</x:v>
      </x:c>
      <x:c r="B62" s="12" t="str">
        <x:v>920575</x:v>
      </x:c>
      <x:c r="C62" s="12" t="str">
        <x:v>*ST康乐</x:v>
      </x:c>
      <x:c r="D62" s="12" t="str">
        <x:v>特殊投资条款</x:v>
      </x:c>
      <x:c r="E62" s="12" t="n">
        <x:v>107</x:v>
      </x:c>
      <x:c r="F62" s="12" t="str">
        <x:v>回购权</x:v>
      </x:c>
      <x:c r="G62" s="12" t="str">
        <x:v>2020 年 11 月 16 日</x:v>
      </x:c>
      <x:c r="H62" s="12" t="str"/>
      <x:c r="I62" s="12" t="str"/>
      <x:c r="J62" s="12" t="str">
        <x:v>8%</x:v>
      </x:c>
      <x:c r="K62" s="12" t="str">
        <x:v>中</x:v>
      </x:c>
      <x:c r="L62" s="12" t="str">
        <x:v>保留为Auto候选</x:v>
      </x:c>
      <x:c r="M62" s="12" t="str">
        <x:v>法规的行为或公司主营业务发生重大变化。 2）丙方明确并承诺，自愿为乙方向甲方承担的股份回购义务提供连带担保 责任， 担保责任范围包括但不限于股份回购款、 迟延支付股份回购款的逾期利息、 违约金及违约损失、律师费、诉讼费、差旅费、调查取证费等，担保期限为乙方 回购义务履行期限届满之日起三年。 3）回购权的行使：①甲方行使股份回购权时，公司控股股东，即乙方...</x:v>
      </x:c>
    </x:row>
    <x:row r="63" ht="38" customHeight="1">
      <x:c r="A63" s="12" t="str">
        <x:v>W13-920575-028</x:v>
      </x:c>
      <x:c r="B63" s="12" t="str">
        <x:v>920575</x:v>
      </x:c>
      <x:c r="C63" s="12" t="str">
        <x:v>*ST康乐</x:v>
      </x:c>
      <x:c r="D63" s="12" t="str">
        <x:v>特殊投资条款</x:v>
      </x:c>
      <x:c r="E63" s="12" t="n">
        <x:v>108</x:v>
      </x:c>
      <x:c r="F63" s="12" t="str">
        <x:v>回购权</x:v>
      </x:c>
      <x:c r="G63" s="12" t="str">
        <x:v>2022 年 9 月 30 日</x:v>
      </x:c>
      <x:c r="H63" s="12" t="str"/>
      <x:c r="I63" s="12" t="str"/>
      <x:c r="J63" s="12" t="str">
        <x:v>8%</x:v>
      </x:c>
      <x:c r="K63" s="12" t="str">
        <x:v>中</x:v>
      </x:c>
      <x:c r="L63" s="12" t="str">
        <x:v>保留为Auto候选</x:v>
      </x:c>
      <x:c r="M63" s="12" t="str">
        <x:v>将全部或大部分知识产权进行排他性转让。 2）丙方明确并承诺，自愿为乙方向甲方承担的股份回购义务提供连带担保 责任， 担保责任范围包括但不限于股份回购款、 迟延支付股份回购款的逾期利息、 违约金及违约损失、律师费、诉讼费、差旅费、调查取证费等，担保期限为乙方 回购义务履行期限届满之日起三年。 3）回购权的行使：①甲方行使股份回购权时，公司控股股东，即乙方...</x:v>
      </x:c>
    </x:row>
    <x:row r="64" ht="38" customHeight="1">
      <x:c r="A64" s="12" t="str">
        <x:v>W13-920719-001</x:v>
      </x:c>
      <x:c r="B64" s="12" t="str">
        <x:v>920719</x:v>
      </x:c>
      <x:c r="C64" s="12" t="str">
        <x:v>宁新新材</x:v>
      </x:c>
      <x:c r="D64" s="12" t="str">
        <x:v>增资认缴</x:v>
      </x:c>
      <x:c r="E64" s="12" t="n">
        <x:v>20</x:v>
      </x:c>
      <x:c r="F64" s="12" t="str">
        <x:v>认购</x:v>
      </x:c>
      <x:c r="G64" s="12" t="str"/>
      <x:c r="H64" s="12" t="str"/>
      <x:c r="I64" s="12" t="str"/>
      <x:c r="J64" s="12" t="str"/>
      <x:c r="K64" s="12" t="str">
        <x:v>低</x:v>
      </x:c>
      <x:c r="L64" s="12" t="str">
        <x:v>保留为Auto候选</x:v>
      </x:c>
      <x:c r="M64" s="12" t="str">
        <x:v>。具体情 况如下： 1、参与对象筛选标准 本次发行中， 战略配售投资者选择标准的制定， 充分考虑了投资者资质以及与发行 人战略合作关系等因素，主要标准包括： （1） 参与战略配售的投资者应具备良好的市场声誉和影响力， 具有较强资金实力； （2）认可发行人长期投资价值，并按照最终确定的发行价格认购其承诺认购的发 行人股票； （3） 最终战略配售投资者不超...</x:v>
      </x:c>
    </x:row>
    <x:row r="65" ht="38" customHeight="1">
      <x:c r="A65" s="12" t="str">
        <x:v>W13-920719-002</x:v>
      </x:c>
      <x:c r="B65" s="12" t="str">
        <x:v>920719</x:v>
      </x:c>
      <x:c r="C65" s="12" t="str">
        <x:v>宁新新材</x:v>
      </x:c>
      <x:c r="D65" s="12" t="str">
        <x:v>增资认缴</x:v>
      </x:c>
      <x:c r="E65" s="12" t="n">
        <x:v>63</x:v>
      </x:c>
      <x:c r="F65" s="12" t="str">
        <x:v>增资</x:v>
      </x:c>
      <x:c r="G65" s="12" t="str">
        <x:v>2015 年 8 月</x:v>
      </x:c>
      <x:c r="H65" s="12" t="str">
        <x:v>720 万元</x:v>
      </x:c>
      <x:c r="I65" s="12" t="str"/>
      <x:c r="J65" s="12" t="str">
        <x:v>5.13%</x:v>
      </x:c>
      <x:c r="K65" s="12" t="str">
        <x:v>中</x:v>
      </x:c>
      <x:c r="L65" s="12" t="str">
        <x:v>保留为Auto候选</x:v>
      </x:c>
      <x:c r="M65" s="12" t="str">
        <x:v>简道、众利简道、简道众创 企巢简道、众利简道、简道众创的执行事 务合伙人均为简道创客 （四） 其他披露事项 1、发行人历史上存在的股权代持情况 2015 年 8 月， 宁新有限的注册资本由720 万元增加至 3,900 万元。 其中余雨霆认缴 200 万元， 价格为1 元/份出资额。 本次增资结束后， 余雨霆持有宁新有限5.13%的股权。 2015 年...</x:v>
      </x:c>
    </x:row>
    <x:row r="66" ht="38" customHeight="1">
      <x:c r="A66" s="12" t="str">
        <x:v>W13-920719-003</x:v>
      </x:c>
      <x:c r="B66" s="12" t="str">
        <x:v>920719</x:v>
      </x:c>
      <x:c r="C66" s="12" t="str">
        <x:v>宁新新材</x:v>
      </x:c>
      <x:c r="D66" s="12" t="str">
        <x:v>增资认缴</x:v>
      </x:c>
      <x:c r="E66" s="12" t="n">
        <x:v>21</x:v>
      </x:c>
      <x:c r="F66" s="12" t="str">
        <x:v>认购</x:v>
      </x:c>
      <x:c r="G66" s="12" t="str"/>
      <x:c r="H66" s="12" t="str"/>
      <x:c r="I66" s="12" t="str">
        <x:v>153.00 万股</x:v>
      </x:c>
      <x:c r="J66" s="12" t="str">
        <x:v>6.57%</x:v>
      </x:c>
      <x:c r="K66" s="12" t="str">
        <x:v>中</x:v>
      </x:c>
      <x:c r="L66" s="12" t="str">
        <x:v>保留为Auto候选</x:v>
      </x:c>
      <x:c r="M66" s="12" t="str">
        <x:v>1-1-20 序 号 战略投资者名称 承诺认购股数 （万股） 限售期安排 2 上海驻点资产管理有限公司 —驻点数学家八号私募证 券投资基金 145.0000 6 个月 3 江西志道投资有限公司 67.4680 6 个月 4 诚泰（天津）资产管理有限公司—诚泰弘扬价值成长 3 号私募证券投资基金 40.0000 6 个月 5 厦门冠亚肆号投资合伙企业（有...</x:v>
      </x:c>
    </x:row>
    <x:row r="67" ht="38" customHeight="1">
      <x:c r="A67" s="12" t="str">
        <x:v>W13-920719-004</x:v>
      </x:c>
      <x:c r="B67" s="12" t="str">
        <x:v>920719</x:v>
      </x:c>
      <x:c r="C67" s="12" t="str">
        <x:v>宁新新材</x:v>
      </x:c>
      <x:c r="D67" s="12" t="str">
        <x:v>增资认缴</x:v>
      </x:c>
      <x:c r="E67" s="12" t="n">
        <x:v>22</x:v>
      </x:c>
      <x:c r="F67" s="12" t="str">
        <x:v>认购</x:v>
      </x:c>
      <x:c r="G67" s="12" t="str"/>
      <x:c r="H67" s="12" t="str"/>
      <x:c r="I67" s="12" t="str"/>
      <x:c r="J67" s="12" t="str">
        <x:v>13.07%</x:v>
      </x:c>
      <x:c r="K67" s="12" t="str">
        <x:v>低</x:v>
      </x:c>
      <x:c r="L67" s="12" t="str">
        <x:v>保留为Auto候选</x:v>
      </x:c>
      <x:c r="M67" s="12" t="str">
        <x:v>1-1-21 北交所上市战略配售的议案》 。参与本次战略配售的人员应当符合如下条件： （1）公司 的高级管理人员； （2）公司的核心员工。 经核查， 参与本次战略配售的人员均满足前述参与人员应当符合的条件， 实际认购 具体名单如下： 序号 姓名 职务 员工类别 实际缴款金 额（万元） 实际认购 比例 劳动关系 所属公司 1 邓达琴 董事长 核心员工 3...</x:v>
      </x:c>
    </x:row>
    <x:row r="68" ht="38" customHeight="1">
      <x:c r="A68" s="12" t="str">
        <x:v>W13-920719-005</x:v>
      </x:c>
      <x:c r="B68" s="12" t="str">
        <x:v>920719</x:v>
      </x:c>
      <x:c r="C68" s="12" t="str">
        <x:v>宁新新材</x:v>
      </x:c>
      <x:c r="D68" s="12" t="str">
        <x:v>增资认缴</x:v>
      </x:c>
      <x:c r="E68" s="12" t="n">
        <x:v>50</x:v>
      </x:c>
      <x:c r="F68" s="12" t="str">
        <x:v>认购</x:v>
      </x:c>
      <x:c r="G68" s="12" t="str"/>
      <x:c r="H68" s="12" t="str"/>
      <x:c r="I68" s="12" t="str"/>
      <x:c r="J68" s="12" t="str"/>
      <x:c r="K68" s="12" t="str">
        <x:v>低</x:v>
      </x:c>
      <x:c r="L68" s="12" t="str">
        <x:v>保留为Auto候选</x:v>
      </x:c>
      <x:c r="M68" s="12" t="str">
        <x:v>发行股票顺利通过北京证券交易所审核并取得中国证监会注 册， 将启动后续发行工作。 公司和主承销商自主协商选择直接定价、 合格投资者网上竞 价或网下询价等方式确定发行价格， 最终定价方式将由股东大会授权董事会与主承销商 根据具体情况及监管要求协商确定。 但是股票公开发行是充分市场化的经济行为， 存在 认购不足导致发行失败的风险。</x:v>
      </x:c>
    </x:row>
    <x:row r="69" ht="38" customHeight="1">
      <x:c r="A69" s="12" t="str">
        <x:v>W13-920719-006</x:v>
      </x:c>
      <x:c r="B69" s="12" t="str">
        <x:v>920719</x:v>
      </x:c>
      <x:c r="C69" s="12" t="str">
        <x:v>宁新新材</x:v>
      </x:c>
      <x:c r="D69" s="12" t="str">
        <x:v>股权转让</x:v>
      </x:c>
      <x:c r="E69" s="12" t="n">
        <x:v>179</x:v>
      </x:c>
      <x:c r="F69" s="12" t="str">
        <x:v>股权转让</x:v>
      </x:c>
      <x:c r="G69" s="12" t="str">
        <x:v>2020 年 12 月 8 日</x:v>
      </x:c>
      <x:c r="H69" s="12" t="str">
        <x:v>57 万元</x:v>
      </x:c>
      <x:c r="I69" s="12" t="str"/>
      <x:c r="J69" s="12" t="str">
        <x:v>11.6%</x:v>
      </x:c>
      <x:c r="K69" s="12" t="str">
        <x:v>高</x:v>
      </x:c>
      <x:c r="L69" s="12" t="str">
        <x:v>保留为Auto候选</x:v>
      </x:c>
      <x:c r="M69" s="12" t="str">
        <x:v>辞去四川比特烯执行董事、总经理职务，不再担任其法定代表人。 注 3：江西华鹄企业管理有限责任公司已于 2020 年 12 月 8 日注销。 注 4：2021 年 6 月 11 日，孟庆桐不再担任品瑞医疗健康科技（上海）有限公司董事。 注 5：2020 年 6 月程雷将其持有的宁易邦 11.6%股权转让给发行人，现持股比例为 8%。 注 6：霍尔果斯市易...</x:v>
      </x:c>
    </x:row>
    <x:row r="70" ht="38" customHeight="1">
      <x:c r="A70" s="12" t="str">
        <x:v>W13-920719-007</x:v>
      </x:c>
      <x:c r="B70" s="12" t="str">
        <x:v>920719</x:v>
      </x:c>
      <x:c r="C70" s="12" t="str">
        <x:v>宁新新材</x:v>
      </x:c>
      <x:c r="D70" s="12" t="str">
        <x:v>股权转让</x:v>
      </x:c>
      <x:c r="E70" s="12" t="n">
        <x:v>56</x:v>
      </x:c>
      <x:c r="F70" s="12" t="str">
        <x:v>受让</x:v>
      </x:c>
      <x:c r="G70" s="12" t="str"/>
      <x:c r="H70" s="12" t="str"/>
      <x:c r="I70" s="12" t="str"/>
      <x:c r="J70" s="12" t="str"/>
      <x:c r="K70" s="12" t="str">
        <x:v>低</x:v>
      </x:c>
      <x:c r="L70" s="12" t="str">
        <x:v>保留为Auto候选</x:v>
      </x:c>
      <x:c r="M70" s="12" t="str">
        <x:v>时按照各方事先协调所达成的一致意见行使表决权。（4）协 议各方应当确保按照达成一致行动决定行使股东权利，承担股东义务。（5）若各方内 部无法达成一致意见， 各方应按照李海航的意向进行表决， 协议各方应当严格按照该决 定执行；（6）各方承诺，如其将所持有的公司的全部或部分股权对外转让，则该等转 让需以受让方同意承继本协议项下的义务并代替出让方重新签署本协...</x:v>
      </x:c>
    </x:row>
    <x:row r="71" ht="38" customHeight="1">
      <x:c r="A71" s="12" t="str">
        <x:v>W13-920719-008</x:v>
      </x:c>
      <x:c r="B71" s="12" t="str">
        <x:v>920719</x:v>
      </x:c>
      <x:c r="C71" s="12" t="str">
        <x:v>宁新新材</x:v>
      </x:c>
      <x:c r="D71" s="12" t="str">
        <x:v>股权转让</x:v>
      </x:c>
      <x:c r="E71" s="12" t="n">
        <x:v>63</x:v>
      </x:c>
      <x:c r="F71" s="12" t="str">
        <x:v>转让给</x:v>
      </x:c>
      <x:c r="G71" s="12" t="str">
        <x:v>2015 年 9 月</x:v>
      </x:c>
      <x:c r="H71" s="12" t="str">
        <x:v>0 万元</x:v>
      </x:c>
      <x:c r="I71" s="12" t="str"/>
      <x:c r="J71" s="12" t="str">
        <x:v>5.13%</x:v>
      </x:c>
      <x:c r="K71" s="12" t="str">
        <x:v>中</x:v>
      </x:c>
      <x:c r="L71" s="12" t="str">
        <x:v>保留为Auto候选</x:v>
      </x:c>
      <x:c r="M71" s="12" t="str">
        <x:v>0 万元增加至 3,900 万元。 其中余雨霆认缴 200 万元， 价格为1 元/份出资额。 本次增资结束后， 余雨霆持有宁新有限5.13%的股权。 2015 年 9 月，余雨霆与自然人陈汝斌私下签订《共同入股协议书》，约定余雨霆 将其持有的宁新有限 80 万元出资额以 1.5 元/份出资额的价格转让给陈汝斌，并约定陈 汝斌的股权由余雨霆代为持有， 陈...</x:v>
      </x:c>
    </x:row>
    <x:row r="72" ht="38" customHeight="1">
      <x:c r="A72" s="12" t="str">
        <x:v>W13-920719-009</x:v>
      </x:c>
      <x:c r="B72" s="12" t="str">
        <x:v>920719</x:v>
      </x:c>
      <x:c r="C72" s="12" t="str">
        <x:v>宁新新材</x:v>
      </x:c>
      <x:c r="D72" s="12" t="str">
        <x:v>股权转让</x:v>
      </x:c>
      <x:c r="E72" s="12" t="n">
        <x:v>13</x:v>
      </x:c>
      <x:c r="F72" s="12" t="str">
        <x:v>股份转让</x:v>
      </x:c>
      <x:c r="G72" s="12" t="str">
        <x:v>2020 年 12 月 31 日</x:v>
      </x:c>
      <x:c r="H72" s="12" t="str"/>
      <x:c r="I72" s="12" t="str"/>
      <x:c r="J72" s="12" t="str"/>
      <x:c r="K72" s="12" t="str">
        <x:v>低</x:v>
      </x:c>
      <x:c r="L72" s="12" t="str">
        <x:v>排除为转让系统语境</x:v>
      </x:c>
      <x:c r="M72" s="12" t="str">
        <x:v>1-1-12 宁新新材料股份有限公司章程（草案） 》 本招股说明书 指 《江西宁新新材料股份有限公司招股说明书》 中国证监会 指 中国证券监督管理委员会 北交所 指 北京证券交易所 新三板、 股转系统、 全国股转 系统 指 全国中小企业股份转让系统 股转公司 指 全国中小企业股份转让系统有限责任公司 保荐机构、 保荐人、 方正承销 保荐 指 方正证券承...</x:v>
      </x:c>
    </x:row>
    <x:row r="73" ht="38" customHeight="1">
      <x:c r="A73" s="12" t="str">
        <x:v>W13-920719-010</x:v>
      </x:c>
      <x:c r="B73" s="12" t="str">
        <x:v>920719</x:v>
      </x:c>
      <x:c r="C73" s="12" t="str">
        <x:v>宁新新材</x:v>
      </x:c>
      <x:c r="D73" s="12" t="str">
        <x:v>股权转让</x:v>
      </x:c>
      <x:c r="E73" s="12" t="n">
        <x:v>51</x:v>
      </x:c>
      <x:c r="F73" s="12" t="str">
        <x:v>股份转让</x:v>
      </x:c>
      <x:c r="G73" s="12" t="str">
        <x:v>2016 年 11 月 8 日</x:v>
      </x:c>
      <x:c r="H73" s="12" t="str"/>
      <x:c r="I73" s="12" t="str"/>
      <x:c r="J73" s="12" t="str"/>
      <x:c r="K73" s="12" t="str">
        <x:v>低</x:v>
      </x:c>
      <x:c r="L73" s="12" t="str">
        <x:v>排除为转让系统语境</x:v>
      </x:c>
      <x:c r="M73" s="12" t="str">
        <x:v>进出口的商品和技术除外 （依法须经批准的项目， 经相关部门批准后方可开展经营活动） 主营业务 特种石墨及制品研发、生产和销售 主要产品与服务项目 特种石墨、石墨制品 二、 发行人挂牌期间的基本情况 （一） 挂牌时间 2016 年 11 月 8 日 （二） 挂牌地点 全国中小企业股份转让系统 （三） 挂牌期间受到处罚的情况 挂牌期间，公司未受到全国中小企...</x:v>
      </x:c>
    </x:row>
    <x:row r="74" ht="38" customHeight="1">
      <x:c r="A74" s="12" t="str">
        <x:v>W13-920719-011</x:v>
      </x:c>
      <x:c r="B74" s="12" t="str">
        <x:v>920719</x:v>
      </x:c>
      <x:c r="C74" s="12" t="str">
        <x:v>宁新新材</x:v>
      </x:c>
      <x:c r="D74" s="12" t="str">
        <x:v>股权转让</x:v>
      </x:c>
      <x:c r="E74" s="12" t="n">
        <x:v>52</x:v>
      </x:c>
      <x:c r="F74" s="12" t="str">
        <x:v>股份转让</x:v>
      </x:c>
      <x:c r="G74" s="12" t="str">
        <x:v>2016 年 11 月 8 日</x:v>
      </x:c>
      <x:c r="H74" s="12" t="str"/>
      <x:c r="I74" s="12" t="str"/>
      <x:c r="J74" s="12" t="str"/>
      <x:c r="K74" s="12" t="str">
        <x:v>中</x:v>
      </x:c>
      <x:c r="L74" s="12" t="str">
        <x:v>保留为Auto候选</x:v>
      </x:c>
      <x:c r="M74" s="12" t="str">
        <x:v>六） 报告期内年报审计机构及其变动情况 报告期内， 公司年报审计机构均为大华会计师事务所 （特殊普通合伙） ， 未发生变动。 （七） 股票交易方式及其变更情况 2016 年 11 月 8 日，公司在全国股转系统挂牌转让，转让方式为协议转让。 根据股转公司发布的 《关于发布 〈全国中小企业股份转让系统股票转让细则〉 的公 告》 ， 自2018 年 1 月...</x:v>
      </x:c>
    </x:row>
    <x:row r="75" ht="38" customHeight="1">
      <x:c r="A75" s="12" t="str">
        <x:v>W13-920719-012</x:v>
      </x:c>
      <x:c r="B75" s="12" t="str">
        <x:v>920719</x:v>
      </x:c>
      <x:c r="C75" s="12" t="str">
        <x:v>宁新新材</x:v>
      </x:c>
      <x:c r="D75" s="12" t="str">
        <x:v>股权转让</x:v>
      </x:c>
      <x:c r="E75" s="12" t="n">
        <x:v>75</x:v>
      </x:c>
      <x:c r="F75" s="12" t="str">
        <x:v>股份转让</x:v>
      </x:c>
      <x:c r="G75" s="12" t="str"/>
      <x:c r="H75" s="12" t="str"/>
      <x:c r="I75" s="12" t="str"/>
      <x:c r="J75" s="12" t="str">
        <x:v>1%</x:v>
      </x:c>
      <x:c r="K75" s="12" t="str">
        <x:v>低</x:v>
      </x:c>
      <x:c r="L75" s="12" t="str">
        <x:v>排除为转让系统语境</x:v>
      </x:c>
      <x:c r="M75" s="12" t="str">
        <x:v>股份总数超过公司股份 总数 1%的，除按照第项规定履行披露义务外，还应当在首次卖出的 30 个交易日前 预先披露减持计划；在减持时间区间内，减持数量过半或减持时间过半时，披露减持 进展情况；在股份减持计划实施完毕或者披露的减持时间区间届满后及时公告具体减 持情况。 本人通过北交所和全国中小企业股份转让系统的竞价或做市交易买入公司股份 的，其减持不...</x:v>
      </x:c>
    </x:row>
    <x:row r="76" ht="38" customHeight="1">
      <x:c r="A76" s="12" t="str">
        <x:v>W13-920719-013</x:v>
      </x:c>
      <x:c r="B76" s="12" t="str">
        <x:v>920719</x:v>
      </x:c>
      <x:c r="C76" s="12" t="str">
        <x:v>宁新新材</x:v>
      </x:c>
      <x:c r="D76" s="12" t="str">
        <x:v>股权转让</x:v>
      </x:c>
      <x:c r="E76" s="12" t="n">
        <x:v>76</x:v>
      </x:c>
      <x:c r="F76" s="12" t="str">
        <x:v>股份转让</x:v>
      </x:c>
      <x:c r="G76" s="12" t="str"/>
      <x:c r="H76" s="12" t="str"/>
      <x:c r="I76" s="12" t="str"/>
      <x:c r="J76" s="12" t="str">
        <x:v>1%</x:v>
      </x:c>
      <x:c r="K76" s="12" t="str">
        <x:v>低</x:v>
      </x:c>
      <x:c r="L76" s="12" t="str">
        <x:v>排除为转让系统语境</x:v>
      </x:c>
      <x:c r="M76" s="12" t="str">
        <x:v>股份总数超过公司股份 总数 1%的，除按照第项规定履行披露义务外，还应当在首次卖出的 30 个交易日前 预先披露减持计划；在减持时间区间内，减持数量过半或减持时间过半时，披露减持 进展情况；在股份减持计划实施完毕或者披露的减持时间区间届满后及时公告具体减 持情况。 本人通过北交所和全国中小企业股份转让系统的竞价或做市交易买入公司股份 的，其减持不...</x:v>
      </x:c>
    </x:row>
    <x:row r="77" ht="38" customHeight="1">
      <x:c r="A77" s="12" t="str">
        <x:v>W13-920719-014</x:v>
      </x:c>
      <x:c r="B77" s="12" t="str">
        <x:v>920719</x:v>
      </x:c>
      <x:c r="C77" s="12" t="str">
        <x:v>宁新新材</x:v>
      </x:c>
      <x:c r="D77" s="12" t="str">
        <x:v>股权快照</x:v>
      </x:c>
      <x:c r="E77" s="12" t="n">
        <x:v>179</x:v>
      </x:c>
      <x:c r="F77" s="12" t="str">
        <x:v>持股比例</x:v>
      </x:c>
      <x:c r="G77" s="12" t="str">
        <x:v>2020 年 12 月 8 日</x:v>
      </x:c>
      <x:c r="H77" s="12" t="str">
        <x:v>57 万元</x:v>
      </x:c>
      <x:c r="I77" s="12" t="str"/>
      <x:c r="J77" s="12" t="str">
        <x:v>11.6%</x:v>
      </x:c>
      <x:c r="K77" s="12" t="str">
        <x:v>高</x:v>
      </x:c>
      <x:c r="L77" s="12" t="str">
        <x:v>保留为Auto候选</x:v>
      </x:c>
      <x:c r="M77" s="12" t="str">
        <x:v>事、总经理职务，不再担任其法定代表人。 注 3：江西华鹄企业管理有限责任公司已于 2020 年 12 月 8 日注销。 注 4：2021 年 6 月 11 日，孟庆桐不再担任品瑞医疗健康科技（上海）有限公司董事。 注 5：2020 年 6 月程雷将其持有的宁易邦 11.6%股权转让给发行人，现持股比例为 8%。 注 6：霍尔果斯市易道创业投资有限公司于...</x:v>
      </x:c>
    </x:row>
    <x:row r="78" ht="38" customHeight="1">
      <x:c r="A78" s="12" t="str">
        <x:v>W13-920719-015</x:v>
      </x:c>
      <x:c r="B78" s="12" t="str">
        <x:v>920719</x:v>
      </x:c>
      <x:c r="C78" s="12" t="str">
        <x:v>宁新新材</x:v>
      </x:c>
      <x:c r="D78" s="12" t="str">
        <x:v>股权快照</x:v>
      </x:c>
      <x:c r="E78" s="12" t="n">
        <x:v>63</x:v>
      </x:c>
      <x:c r="F78" s="12" t="str">
        <x:v>前十名股东</x:v>
      </x:c>
      <x:c r="G78" s="12" t="str"/>
      <x:c r="H78" s="12" t="str"/>
      <x:c r="I78" s="12" t="str"/>
      <x:c r="J78" s="12" t="str"/>
      <x:c r="K78" s="12" t="str">
        <x:v>低</x:v>
      </x:c>
      <x:c r="L78" s="12" t="str">
        <x:v>保留为Auto候选</x:v>
      </x:c>
      <x:c r="M78" s="12" t="str">
        <x:v>1-1-62 （二） 本次发行前公司前十名股东情况 序号 股东姓名/名称 担任职务 持股数量 （万股） 限售数量 （万股） 股权比例 （%） 1 李海航 董事、总经理 975.00 975.00 13.96 2 邓达琴 董事长 841.00 841.00 12.05 3 李江标 董事、副总经理 525.00 525.00 7.52 4 宜春发投（SS）...</x:v>
      </x:c>
    </x:row>
    <x:row r="79" ht="38" customHeight="1">
      <x:c r="A79" s="12" t="str">
        <x:v>W13-920719-016</x:v>
      </x:c>
      <x:c r="B79" s="12" t="str">
        <x:v>920719</x:v>
      </x:c>
      <x:c r="C79" s="12" t="str">
        <x:v>宁新新材</x:v>
      </x:c>
      <x:c r="D79" s="12" t="str">
        <x:v>股权快照</x:v>
      </x:c>
      <x:c r="E79" s="12" t="n">
        <x:v>5</x:v>
      </x:c>
      <x:c r="F79" s="12" t="str">
        <x:v>持股比例</x:v>
      </x:c>
      <x:c r="G79" s="12" t="str"/>
      <x:c r="H79" s="12" t="str">
        <x:v>3,911.62 万元</x:v>
      </x:c>
      <x:c r="I79" s="12" t="str"/>
      <x:c r="J79" s="12" t="str"/>
      <x:c r="K79" s="12" t="str">
        <x:v>中</x:v>
      </x:c>
      <x:c r="L79" s="12" t="str">
        <x:v>保留为Auto候选</x:v>
      </x:c>
      <x:c r="M79" s="12" t="str">
        <x:v>行人经营与收益变化或 者股票价格变动引致的投资风险。 三、关于发行前滚存利润的分配安排 经公司 2022 年第四次临时股东大会审议通过， 若公司向不特定合格投资者公开发 行股票并在北京证券交易所上市方案经中国证监会注册并得以实施， 则本次发行前滚存 未分配利润由本次发行完成后的新老股东按发行后的持股比例共享。 四、特别风险提示 本公司提醒投资者认真阅读...</x:v>
      </x:c>
    </x:row>
    <x:row r="80" ht="38" customHeight="1">
      <x:c r="A80" s="12" t="str">
        <x:v>W13-920719-017</x:v>
      </x:c>
      <x:c r="B80" s="12" t="str">
        <x:v>920719</x:v>
      </x:c>
      <x:c r="C80" s="12" t="str">
        <x:v>宁新新材</x:v>
      </x:c>
      <x:c r="D80" s="12" t="str">
        <x:v>股权快照</x:v>
      </x:c>
      <x:c r="E80" s="12" t="n">
        <x:v>62</x:v>
      </x:c>
      <x:c r="F80" s="12" t="str">
        <x:v>股本结构</x:v>
      </x:c>
      <x:c r="G80" s="12" t="str"/>
      <x:c r="H80" s="12" t="str"/>
      <x:c r="I80" s="12" t="str">
        <x:v>6,982 万股</x:v>
      </x:c>
      <x:c r="J80" s="12" t="str">
        <x:v>25%</x:v>
      </x:c>
      <x:c r="K80" s="12" t="str">
        <x:v>中</x:v>
      </x:c>
      <x:c r="L80" s="12" t="str">
        <x:v>保留为Auto候选</x:v>
      </x:c>
      <x:c r="M80" s="12" t="str">
        <x:v>,848,700.00 - 2,224,000.00 - - 根据盛通合伙的合伙协议， 盛通合伙的合伙人的利润分配、 亏损承担不是按照盛通 合伙的出资额占比进行分配， 而是按照每个合伙人出资额对应宁新新材股份数量的占比 进行利润分配、亏损承担。 五、 发行人股本情况 （一） 本次发行前后的股本结构情况 截至本招股说明书签署日，公司本次公开发行前的总股本...</x:v>
      </x:c>
    </x:row>
    <x:row r="81" ht="38" customHeight="1">
      <x:c r="A81" s="12" t="str">
        <x:v>W13-920719-018</x:v>
      </x:c>
      <x:c r="B81" s="12" t="str">
        <x:v>920719</x:v>
      </x:c>
      <x:c r="C81" s="12" t="str">
        <x:v>宁新新材</x:v>
      </x:c>
      <x:c r="D81" s="12" t="str">
        <x:v>股权快照</x:v>
      </x:c>
      <x:c r="E81" s="12" t="n">
        <x:v>89</x:v>
      </x:c>
      <x:c r="F81" s="12" t="str">
        <x:v>持股比例</x:v>
      </x:c>
      <x:c r="G81" s="12" t="str"/>
      <x:c r="H81" s="12" t="str"/>
      <x:c r="I81" s="12" t="str"/>
      <x:c r="J81" s="12" t="str">
        <x:v>13.96%</x:v>
      </x:c>
      <x:c r="K81" s="12" t="str">
        <x:v>低</x:v>
      </x:c>
      <x:c r="L81" s="12" t="str">
        <x:v>保留为Auto候选</x:v>
      </x:c>
      <x:c r="M81" s="12" t="str">
        <x:v>与其 他股东一样平等地行使股东权利、 履行股东义务， 不利用 主要股东的地位谋取不当的利益， 不损害公司及其他股东 的合法权益。 （三） 承诺具体内容 发行人本次发行前作出关于未来上市后股份锁定承诺的股东如下： 序号 股东名称/姓名 股东类别/身份 本次发行前持 股数量（万股） 本次发行前 持股比例 股份锁定承 诺内容 1 李海航 实际控制人之一、 董...</x:v>
      </x:c>
    </x:row>
    <x:row r="82" ht="38" customHeight="1">
      <x:c r="A82" s="12" t="str">
        <x:v>W13-920719-019</x:v>
      </x:c>
      <x:c r="B82" s="12" t="str">
        <x:v>920719</x:v>
      </x:c>
      <x:c r="C82" s="12" t="str">
        <x:v>宁新新材</x:v>
      </x:c>
      <x:c r="D82" s="12" t="str">
        <x:v>股权快照</x:v>
      </x:c>
      <x:c r="E82" s="12" t="n">
        <x:v>176</x:v>
      </x:c>
      <x:c r="F82" s="12" t="str">
        <x:v>持股比例</x:v>
      </x:c>
      <x:c r="G82" s="12" t="str"/>
      <x:c r="H82" s="12" t="str"/>
      <x:c r="I82" s="12" t="str"/>
      <x:c r="J82" s="12" t="str">
        <x:v>5%</x:v>
      </x:c>
      <x:c r="K82" s="12" t="str">
        <x:v>低</x:v>
      </x:c>
      <x:c r="L82" s="12" t="str">
        <x:v>保留为Auto候选</x:v>
      </x:c>
      <x:c r="M82" s="12" t="str">
        <x:v>1-1-175 人股东及实际控制人情况”之“（四） 控股股东、 实际控制人所控制的其他企业情况”。 3、除实际控制人外持有公司 5%以上股份的其他股东 序号 关联方名称 持股比例 关联关系 1 企巢简道 4.08% 执行事务合伙人均为简道创客，合计持有发行人 7.66%股份 2 众利简道 2.15% 3 简道众创 1.43% 4 宜春发投 7.16% ...</x:v>
      </x:c>
    </x:row>
    <x:row r="83" ht="38" customHeight="1">
      <x:c r="A83" s="12" t="str">
        <x:v>W13-920719-020</x:v>
      </x:c>
      <x:c r="B83" s="12" t="str">
        <x:v>920719</x:v>
      </x:c>
      <x:c r="C83" s="12" t="str">
        <x:v>宁新新材</x:v>
      </x:c>
      <x:c r="D83" s="12" t="str">
        <x:v>基金备案</x:v>
      </x:c>
      <x:c r="E83" s="12" t="n">
        <x:v>41</x:v>
      </x:c>
      <x:c r="F83" s="12" t="str">
        <x:v>基金业协会</x:v>
      </x:c>
      <x:c r="G83" s="12" t="str">
        <x:v>2016 年 7 月</x:v>
      </x:c>
      <x:c r="H83" s="12" t="str">
        <x:v>1 亿元</x:v>
      </x:c>
      <x:c r="I83" s="12" t="str"/>
      <x:c r="J83" s="12" t="str">
        <x:v>8%</x:v>
      </x:c>
      <x:c r="K83" s="12" t="str">
        <x:v>高</x:v>
      </x:c>
      <x:c r="L83" s="12" t="str">
        <x:v>保留为Auto候选</x:v>
      </x:c>
      <x:c r="M83" s="12" t="str">
        <x:v>苏、浙江等地设有基金 和办公室。 约 9 亿左右 隆达金属 （688231）、八 维 通、燧原科技、星 恒电源 5 北 京 企 巢 简 道 科 技 发 展 中 心 及 关 联 公司 企巢简道基金是北京简道创投资有限公司管 理的有限合伙型股权投资基金， 已于2016 年 7 月在中国证券投资基金业协会备案。 约 1 亿左右 福信富通、海能技 术、基康仪器...</x:v>
      </x:c>
    </x:row>
    <x:row r="84" ht="38" customHeight="1">
      <x:c r="A84" s="12" t="str">
        <x:v>W13-920719-021</x:v>
      </x:c>
      <x:c r="B84" s="12" t="str">
        <x:v>920719</x:v>
      </x:c>
      <x:c r="C84" s="12" t="str">
        <x:v>宁新新材</x:v>
      </x:c>
      <x:c r="D84" s="12" t="str">
        <x:v>基金备案</x:v>
      </x:c>
      <x:c r="E84" s="12" t="n">
        <x:v>59</x:v>
      </x:c>
      <x:c r="F84" s="12" t="str">
        <x:v>基金备案</x:v>
      </x:c>
      <x:c r="G84" s="12" t="str">
        <x:v>2017 年 7 月 20 日</x:v>
      </x:c>
      <x:c r="H84" s="12" t="str">
        <x:v>200,000.00 万元</x:v>
      </x:c>
      <x:c r="I84" s="12" t="str"/>
      <x:c r="J84" s="12" t="str">
        <x:v>20.00%</x:v>
      </x:c>
      <x:c r="K84" s="12" t="str">
        <x:v>高</x:v>
      </x:c>
      <x:c r="L84" s="12" t="str">
        <x:v>保留为Auto候选</x:v>
      </x:c>
      <x:c r="M84" s="12" t="str">
        <x:v>出资比例 合伙人类型 1 北京简道创客投资有限公司 100.00 20.00% 普通合伙人 2 简道众创投资股份有限公司 400.00 80.00% 有限合伙人 合计 500.00 100.00% - （3）简道众创私募基金登记备案情况 简道众创已于 2017 年 7 月 20 日完成私募基金备案， 并取得由中国证券投资基金业 协会核发的《私募投资基金...</x:v>
      </x:c>
    </x:row>
    <x:row r="85" ht="38" customHeight="1">
      <x:c r="A85" s="12" t="str">
        <x:v>W13-920719-022</x:v>
      </x:c>
      <x:c r="B85" s="12" t="str">
        <x:v>920719</x:v>
      </x:c>
      <x:c r="C85" s="12" t="str">
        <x:v>宁新新材</x:v>
      </x:c>
      <x:c r="D85" s="12" t="str">
        <x:v>基金备案</x:v>
      </x:c>
      <x:c r="E85" s="12" t="n">
        <x:v>57</x:v>
      </x:c>
      <x:c r="F85" s="12" t="str">
        <x:v>基金备案</x:v>
      </x:c>
      <x:c r="G85" s="12" t="str">
        <x:v>2016 年 7 月 21 日</x:v>
      </x:c>
      <x:c r="H85" s="12" t="str"/>
      <x:c r="I85" s="12" t="str"/>
      <x:c r="J85" s="12" t="str">
        <x:v>2.40%</x:v>
      </x:c>
      <x:c r="K85" s="12" t="str">
        <x:v>中</x:v>
      </x:c>
      <x:c r="L85" s="12" t="str">
        <x:v>保留为Auto候选</x:v>
      </x:c>
      <x:c r="M85" s="12" t="str">
        <x:v>.00 2.40% 有限合伙人 9 解文燕 100.00 2.00% 有限合伙人 10 云家园在线（北京）科技有限公司 100.00 2.00% 有限合伙人 合计 5,000.00 100.00% - （3）企巢简道私募基金登记备案情况 企巢简道已于 2016 年 7 月 21 日完成私募基金备案， 并取得由中国证券投资基金业 协会核发的《私募投资基金...</x:v>
      </x:c>
    </x:row>
    <x:row r="86" ht="38" customHeight="1">
      <x:c r="A86" s="12" t="str">
        <x:v>W13-920719-023</x:v>
      </x:c>
      <x:c r="B86" s="12" t="str">
        <x:v>920719</x:v>
      </x:c>
      <x:c r="C86" s="12" t="str">
        <x:v>宁新新材</x:v>
      </x:c>
      <x:c r="D86" s="12" t="str">
        <x:v>基金备案</x:v>
      </x:c>
      <x:c r="E86" s="12" t="n">
        <x:v>58</x:v>
      </x:c>
      <x:c r="F86" s="12" t="str">
        <x:v>基金备案</x:v>
      </x:c>
      <x:c r="G86" s="12" t="str">
        <x:v>2017 年 1 月 20 日</x:v>
      </x:c>
      <x:c r="H86" s="12" t="str"/>
      <x:c r="I86" s="12" t="str"/>
      <x:c r="J86" s="12" t="str">
        <x:v>2.94%</x:v>
      </x:c>
      <x:c r="K86" s="12" t="str">
        <x:v>中</x:v>
      </x:c>
      <x:c r="L86" s="12" t="str">
        <x:v>保留为Auto候选</x:v>
      </x:c>
      <x:c r="M86" s="12" t="str">
        <x:v>12 沈小蕙 100.00 2.94% 有限合伙人 13 张志东 100.00 2.94% 有限合伙人 14 许常娥 100.00 2.94% 有限合伙人 合计 3,400.00 100.00% - （3）众利简道私募基金登记备案情况 众利简道已于 2017 年 1 月 20 日完成私募基金备案， 并取得由中国证券投资基金业 协会核发的《私募投资基金证...</x:v>
      </x:c>
    </x:row>
    <x:row r="87" ht="38" customHeight="1">
      <x:c r="A87" s="12" t="str">
        <x:v>W13-920719-024</x:v>
      </x:c>
      <x:c r="B87" s="12" t="str">
        <x:v>920719</x:v>
      </x:c>
      <x:c r="C87" s="12" t="str">
        <x:v>宁新新材</x:v>
      </x:c>
      <x:c r="D87" s="12" t="str">
        <x:v>基金备案</x:v>
      </x:c>
      <x:c r="E87" s="12" t="n">
        <x:v>156</x:v>
      </x:c>
      <x:c r="F87" s="12" t="str">
        <x:v>备案号</x:v>
      </x:c>
      <x:c r="G87" s="12" t="str"/>
      <x:c r="H87" s="12" t="str"/>
      <x:c r="I87" s="12" t="str"/>
      <x:c r="J87" s="12" t="str"/>
      <x:c r="K87" s="12" t="str">
        <x:v>低</x:v>
      </x:c>
      <x:c r="L87" s="12" t="str">
        <x:v>保留为Auto候选</x:v>
      </x:c>
      <x:c r="M87" s="12" t="str">
        <x:v>加工用工装 实用 新型 宁和达 2022223373603 2022.09.02 2022.12.06 发行人及其子公司合法拥有上述专利，且不存在产权纠纷或潜在产权纠纷。 （4）域名 截至本招股说明书签署日， 发行人及其子公司依法拥有域名合计共1 项， 具体情况 如下表所示： 序号 ICP 备案号 网站网址 所有权人 专用期限 1 赣 ICP 备 15...</x:v>
      </x:c>
    </x:row>
    <x:row r="88" ht="38" customHeight="1">
      <x:c r="A88" s="12" t="str">
        <x:v>W13-920719-025</x:v>
      </x:c>
      <x:c r="B88" s="12" t="str">
        <x:v>920719</x:v>
      </x:c>
      <x:c r="C88" s="12" t="str">
        <x:v>宁新新材</x:v>
      </x:c>
      <x:c r="D88" s="12" t="str">
        <x:v>基金备案</x:v>
      </x:c>
      <x:c r="E88" s="12" t="n">
        <x:v>165</x:v>
      </x:c>
      <x:c r="F88" s="12" t="str">
        <x:v>备案号</x:v>
      </x:c>
      <x:c r="G88" s="12" t="str"/>
      <x:c r="H88" s="12" t="str"/>
      <x:c r="I88" s="12" t="str"/>
      <x:c r="J88" s="12" t="str"/>
      <x:c r="K88" s="12" t="str">
        <x:v>低</x:v>
      </x:c>
      <x:c r="L88" s="12" t="str">
        <x:v>保留为Auto候选</x:v>
      </x:c>
      <x:c r="M88" s="12" t="str">
        <x:v>23-2025.01.22 6 《报关单位注册登记证书》 （海关 注册编码：36089609ER） 发行人 宜春海关 2018.12.13 至长期 7 《对外贸易经营者备案登记表》 （编号：02406681） 发行人 - 2018.12.12 至长期 8 《出入境检验检疫报检企业备案 表》 （备案号:3605601727） 发行人 江西出入境检验检 疫...</x:v>
      </x:c>
    </x:row>
    <x:row r="89" ht="38" customHeight="1">
      <x:c r="A89" s="12" t="str">
        <x:v>W13-920719-026</x:v>
      </x:c>
      <x:c r="B89" s="12" t="str">
        <x:v>920719</x:v>
      </x:c>
      <x:c r="C89" s="12" t="str">
        <x:v>宁新新材</x:v>
      </x:c>
      <x:c r="D89" s="12" t="str">
        <x:v>特殊投资条款</x:v>
      </x:c>
      <x:c r="E89" s="12" t="n">
        <x:v>64</x:v>
      </x:c>
      <x:c r="F89" s="12" t="str">
        <x:v>特殊投资约定</x:v>
      </x:c>
      <x:c r="G89" s="12" t="str">
        <x:v>2017 年 7 月 20 日</x:v>
      </x:c>
      <x:c r="H89" s="12" t="str">
        <x:v>500 万元</x:v>
      </x:c>
      <x:c r="I89" s="12" t="str"/>
      <x:c r="J89" s="12" t="str">
        <x:v>60.00%</x:v>
      </x:c>
      <x:c r="K89" s="12" t="str">
        <x:v>中</x:v>
      </x:c>
      <x:c r="L89" s="12" t="str">
        <x:v>保留为Auto候选</x:v>
      </x:c>
      <x:c r="M89" s="12" t="str">
        <x:v>全部拍卖。截至 2018 年底，余雨霆不再持有宁新新材的股份。 六、 股权激励等可能导致发行人股权结构变化的事项 截至本招股说明书签署日，公司不存在正在执行的对董事、监事、高级管理人员、 其他核心技术 （业务） 人员、 员工实行的股权激励及其他制度安排； 公司实际控制人不 存在与其他股东签署特殊投资约定等可能导致股权结构变化的事项的情形。 七、 发行人...</x:v>
      </x:c>
    </x:row>
    <x:row r="90" ht="38" customHeight="1">
      <x:c r="A90" s="12" t="str">
        <x:v>W13-920522-001</x:v>
      </x:c>
      <x:c r="B90" s="12" t="str">
        <x:v>920522</x:v>
      </x:c>
      <x:c r="C90" s="12" t="str">
        <x:v>纳科诺尔</x:v>
      </x:c>
      <x:c r="D90" s="12" t="str">
        <x:v>增资认缴</x:v>
      </x:c>
      <x:c r="E90" s="12" t="n">
        <x:v>44</x:v>
      </x:c>
      <x:c r="F90" s="12" t="str">
        <x:v>增资</x:v>
      </x:c>
      <x:c r="G90" s="12" t="str">
        <x:v>2023 年 4 月 11 日</x:v>
      </x:c>
      <x:c r="H90" s="12" t="str">
        <x:v>200.00 万元</x:v>
      </x:c>
      <x:c r="I90" s="12" t="str">
        <x:v>40.00 万股</x:v>
      </x:c>
      <x:c r="J90" s="12" t="str">
        <x:v>0.93%</x:v>
      </x:c>
      <x:c r="K90" s="12" t="str">
        <x:v>中</x:v>
      </x:c>
      <x:c r="L90" s="12" t="str">
        <x:v>保留为Auto候选</x:v>
      </x:c>
      <x:c r="M90" s="12" t="str">
        <x:v>励对象名单及授予日的议案（修订稿） 》等相关议案，公司计划将2022 年 股权激励预留权益 40.00 万股授予 17 名公司核心员工。 预留权益授予日后 17 人完成缴款，本次实际授予权益人数为 17 人，实际授予的限制性股票数 量为 40 万股。2023 年 4 月 11 日，中兴财光华就本次增资事宜出具的“中兴财光华审验字（2023） 第 308...</x:v>
      </x:c>
    </x:row>
    <x:row r="91" ht="38" customHeight="1">
      <x:c r="A91" s="12" t="str">
        <x:v>W13-920522-002</x:v>
      </x:c>
      <x:c r="B91" s="12" t="str">
        <x:v>920522</x:v>
      </x:c>
      <x:c r="C91" s="12" t="str">
        <x:v>纳科诺尔</x:v>
      </x:c>
      <x:c r="D91" s="12" t="str">
        <x:v>增资认缴</x:v>
      </x:c>
      <x:c r="E91" s="12" t="n">
        <x:v>33</x:v>
      </x:c>
      <x:c r="F91" s="12" t="str">
        <x:v>认购</x:v>
      </x:c>
      <x:c r="G91" s="12" t="str">
        <x:v>2023 年 2 月 13 日</x:v>
      </x:c>
      <x:c r="H91" s="12" t="str">
        <x:v>人民币 5.00 元</x:v>
      </x:c>
      <x:c r="I91" s="12" t="str">
        <x:v>32 股</x:v>
      </x:c>
      <x:c r="J91" s="12" t="str"/>
      <x:c r="K91" s="12" t="str">
        <x:v>中</x:v>
      </x:c>
      <x:c r="L91" s="12" t="str">
        <x:v>保留为Auto候选</x:v>
      </x:c>
      <x:c r="M91" s="12" t="str">
        <x:v>1-2-4-32 股权激励对象缴纳的 352.00 万股限制性股票认购款，每股价格人民币 5.00 元，股权激励认购款合 计人民币 1,760.00 万元。 公司于 2023 年 2 月 13 日、2023 年 3 月 2 日分别召开第三届董事会第二十一次会议、2023 年 第二次临时股东大会，审议通过《关于拟定公司核心员工的议案（修订稿） 》 《关于...</x:v>
      </x:c>
    </x:row>
    <x:row r="92" ht="38" customHeight="1">
      <x:c r="A92" s="12" t="str">
        <x:v>W13-920522-003</x:v>
      </x:c>
      <x:c r="B92" s="12" t="str">
        <x:v>920522</x:v>
      </x:c>
      <x:c r="C92" s="12" t="str">
        <x:v>纳科诺尔</x:v>
      </x:c>
      <x:c r="D92" s="12" t="str">
        <x:v>增资认缴</x:v>
      </x:c>
      <x:c r="E92" s="12" t="n">
        <x:v>43</x:v>
      </x:c>
      <x:c r="F92" s="12" t="str">
        <x:v>定向发行</x:v>
      </x:c>
      <x:c r="G92" s="12" t="str">
        <x:v>2022 年 4 月 29 日</x:v>
      </x:c>
      <x:c r="H92" s="12" t="str">
        <x:v>3.63 元</x:v>
      </x:c>
      <x:c r="I92" s="12" t="str">
        <x:v>168.50 万股</x:v>
      </x:c>
      <x:c r="J92" s="12" t="str"/>
      <x:c r="K92" s="12" t="str">
        <x:v>中</x:v>
      </x:c>
      <x:c r="L92" s="12" t="str">
        <x:v>保留为Auto候选</x:v>
      </x:c>
      <x:c r="M92" s="12" t="str">
        <x:v>报告期内，公司实施的员工持股计划（已取消）和股权激励计划情况如下： 1、发行人的员工持股计划（已取消） 公司于 2022 年 4 月 29 日、2022 年 5 月 20 日分别召开第三届董事会第十二次会议、2022 年第 三次临时股东大会，审议通过了《关于邢台纳科诺尔精轧科技股份有限公司股票定向发行说明书的 议案》 、 《关于邢台纳科诺尔精轧科技股份...</x:v>
      </x:c>
    </x:row>
    <x:row r="93" ht="38" customHeight="1">
      <x:c r="A93" s="12" t="str">
        <x:v>W13-920522-004</x:v>
      </x:c>
      <x:c r="B93" s="12" t="str">
        <x:v>920522</x:v>
      </x:c>
      <x:c r="C93" s="12" t="str">
        <x:v>纳科诺尔</x:v>
      </x:c>
      <x:c r="D93" s="12" t="str">
        <x:v>增资认缴</x:v>
      </x:c>
      <x:c r="E93" s="12" t="n">
        <x:v>32</x:v>
      </x:c>
      <x:c r="F93" s="12" t="str">
        <x:v>定向发行</x:v>
      </x:c>
      <x:c r="G93" s="12" t="str">
        <x:v>2016 年 4 月 5 日</x:v>
      </x:c>
      <x:c r="H93" s="12" t="str">
        <x:v>3.63 元</x:v>
      </x:c>
      <x:c r="I93" s="12" t="str">
        <x:v>168.50 万股</x:v>
      </x:c>
      <x:c r="J93" s="12" t="str"/>
      <x:c r="K93" s="12" t="str">
        <x:v>中</x:v>
      </x:c>
      <x:c r="L93" s="12" t="str">
        <x:v>保留为Auto候选</x:v>
      </x:c>
      <x:c r="M93" s="12" t="str">
        <x:v>。2016 年 4 月 5 日，公司召开 2016 年第一次临时股东大会审议通过《关于公司股票转让方式由协议转让 变更为做市转让方式的议案》 。经全国股转公司同意，公司股票自2016 年 8 月 26 日起由协议转让 方式变更为做市转让方式。 （八） 报告期内发行融资情况 1、2022 年第一次定向发行（已取消） 公司于 2022 年 4 月 29 日...</x:v>
      </x:c>
    </x:row>
    <x:row r="94" ht="38" customHeight="1">
      <x:c r="A94" s="12" t="str">
        <x:v>W13-920522-005</x:v>
      </x:c>
      <x:c r="B94" s="12" t="str">
        <x:v>920522</x:v>
      </x:c>
      <x:c r="C94" s="12" t="str">
        <x:v>纳科诺尔</x:v>
      </x:c>
      <x:c r="D94" s="12" t="str">
        <x:v>增资认缴</x:v>
      </x:c>
      <x:c r="E94" s="12" t="n">
        <x:v>29</x:v>
      </x:c>
      <x:c r="F94" s="12" t="str">
        <x:v>认购</x:v>
      </x:c>
      <x:c r="G94" s="12" t="str"/>
      <x:c r="H94" s="12" t="str"/>
      <x:c r="I94" s="12" t="str"/>
      <x:c r="J94" s="12" t="str"/>
      <x:c r="K94" s="12" t="str">
        <x:v>低</x:v>
      </x:c>
      <x:c r="L94" s="12" t="str">
        <x:v>保留为Auto候选</x:v>
      </x:c>
      <x:c r="M94" s="12" t="str">
        <x:v>三人已采取相应 措施维持公司控制权稳定，但如果《一致行动协议》解除或失去效力，其他股东之间达成一致行动 协议，或第三方发起收购，公司将面临实际控制人及控制权发生变动的风险。 六、新股发行失败风险 本次新股发行会受到市场环境、投资者偏好、价值判断等诸多因素影响，具有不确定性。若本 次发行过程中出现认购数量不足、 发行后公司市值未达到上市条件等情形， 则将...</x:v>
      </x:c>
    </x:row>
    <x:row r="95" ht="38" customHeight="1">
      <x:c r="A95" s="12" t="str">
        <x:v>W13-920522-006</x:v>
      </x:c>
      <x:c r="B95" s="12" t="str">
        <x:v>920522</x:v>
      </x:c>
      <x:c r="C95" s="12" t="str">
        <x:v>纳科诺尔</x:v>
      </x:c>
      <x:c r="D95" s="12" t="str">
        <x:v>增资认缴</x:v>
      </x:c>
      <x:c r="E95" s="12" t="n">
        <x:v>11</x:v>
      </x:c>
      <x:c r="F95" s="12" t="str">
        <x:v>认购</x:v>
      </x:c>
      <x:c r="G95" s="12" t="str"/>
      <x:c r="H95" s="12" t="str"/>
      <x:c r="I95" s="12" t="str"/>
      <x:c r="J95" s="12" t="str"/>
      <x:c r="K95" s="12" t="str">
        <x:v>低</x:v>
      </x:c>
      <x:c r="L95" s="12" t="str">
        <x:v>保留为Auto候选</x:v>
      </x:c>
      <x:c r="M95" s="12" t="str">
        <x:v>公司、 本公司、 纳科 诺尔 指 邢台纳科诺尔精轧科技股份有限公司 纳科诺尔有限、有限公司 指 邢台纳科诺尔极片轧制设备有限公司 常州纳科 指 常州纳科诺尔精密轧制设备有限公司 深圳纳科 指 纳科诺尔智能装备（深圳）有限公司 A 股 指 在中国境内证券交易所上市，以人民币标明面值，以人民币 认购和交易的普通股股票 中国证监会 指 中国证券监督管理委员会...</x:v>
      </x:c>
    </x:row>
    <x:row r="96" ht="38" customHeight="1">
      <x:c r="A96" s="12" t="str">
        <x:v>W13-920522-007</x:v>
      </x:c>
      <x:c r="B96" s="12" t="str">
        <x:v>920522</x:v>
      </x:c>
      <x:c r="C96" s="12" t="str">
        <x:v>纳科诺尔</x:v>
      </x:c>
      <x:c r="D96" s="12" t="str">
        <x:v>增资认缴</x:v>
      </x:c>
      <x:c r="E96" s="12" t="n">
        <x:v>19</x:v>
      </x:c>
      <x:c r="F96" s="12" t="str">
        <x:v>认购</x:v>
      </x:c>
      <x:c r="G96" s="12" t="str"/>
      <x:c r="H96" s="12" t="str"/>
      <x:c r="I96" s="12" t="str">
        <x:v>90,370,000 股</x:v>
      </x:c>
      <x:c r="J96" s="12" t="str"/>
      <x:c r="K96" s="12" t="str">
        <x:v>中</x:v>
      </x:c>
      <x:c r="L96" s="12" t="str">
        <x:v>保留为Auto候选</x:v>
      </x:c>
      <x:c r="M96" s="12" t="str">
        <x:v>择权）。 注： 上述发行费用均不含增值税金额，上述发行费用明细项目合 计数与总额不一致系四舍五入原因造成一；最终发行费用可能由 于金额四舍五入或最终发行结果而有所调整。 承销方式及承销期 承销方式： 余额包销； 承销期： 招股说明书在中国证监会、 北交 所指定报刊刊登之日至主承销商停止接受投资者认购款之日 询价对象范围及其他报价条件 不适用 优先配售对...</x:v>
      </x:c>
    </x:row>
    <x:row r="97" ht="38" customHeight="1">
      <x:c r="A97" s="12" t="str">
        <x:v>W13-920522-008</x:v>
      </x:c>
      <x:c r="B97" s="12" t="str">
        <x:v>920522</x:v>
      </x:c>
      <x:c r="C97" s="12" t="str">
        <x:v>纳科诺尔</x:v>
      </x:c>
      <x:c r="D97" s="12" t="str">
        <x:v>股权转让</x:v>
      </x:c>
      <x:c r="E97" s="12" t="n">
        <x:v>44</x:v>
      </x:c>
      <x:c r="F97" s="12" t="str">
        <x:v>股权转让</x:v>
      </x:c>
      <x:c r="G97" s="12" t="str">
        <x:v>2018 年 11 月 26 日</x:v>
      </x:c>
      <x:c r="H97" s="12" t="str"/>
      <x:c r="I97" s="12" t="str">
        <x:v>625 万股</x:v>
      </x:c>
      <x:c r="J97" s="12" t="str"/>
      <x:c r="K97" s="12" t="str">
        <x:v>中</x:v>
      </x:c>
      <x:c r="L97" s="12" t="str">
        <x:v>保留为Auto候选</x:v>
      </x:c>
      <x:c r="M97" s="12" t="str">
        <x:v>邢新基金 2018 年 11 月 26 日 《关于邢台 纳科诺尔精 轧科技股份 有限公司&lt;投 资协议&gt;之补 充协议》、 《关 于邢台纳科 诺尔精轧科 技股份有限 公司&lt;投资协 议&gt;之补充协 议（二）》 付建新、 穆 吉峰、 耿建 华 （1）上市计划；（2） 实际控制人回购条款； （3）对股权转让的限 制 2021 年 11 月 2 日至 2021 年 ...</x:v>
      </x:c>
    </x:row>
    <x:row r="98" ht="38" customHeight="1">
      <x:c r="A98" s="12" t="str">
        <x:v>W13-920522-009</x:v>
      </x:c>
      <x:c r="B98" s="12" t="str">
        <x:v>920522</x:v>
      </x:c>
      <x:c r="C98" s="12" t="str">
        <x:v>纳科诺尔</x:v>
      </x:c>
      <x:c r="D98" s="12" t="str">
        <x:v>股权转让</x:v>
      </x:c>
      <x:c r="E98" s="12" t="n">
        <x:v>40</x:v>
      </x:c>
      <x:c r="F98" s="12" t="str">
        <x:v>转让给</x:v>
      </x:c>
      <x:c r="G98" s="12" t="str">
        <x:v>2013 年 12 月</x:v>
      </x:c>
      <x:c r="H98" s="12" t="str">
        <x:v>1.03 元</x:v>
      </x:c>
      <x:c r="I98" s="12" t="str"/>
      <x:c r="J98" s="12" t="str">
        <x:v>10%</x:v>
      </x:c>
      <x:c r="K98" s="12" t="str">
        <x:v>中</x:v>
      </x:c>
      <x:c r="L98" s="12" t="str">
        <x:v>保留为Auto候选</x:v>
      </x:c>
      <x:c r="M98" s="12" t="str">
        <x:v>付建新、穆吉峰、耿建华为一致行动人 3 耿建华 付建新、穆吉峰、耿建华为一致行动人 （四） 其他披露事项 发行人在新三板挂牌前曾存在股权代持，相关股权代持及代持解除情况如下： 时间 事项 股权变动内容 价格 说明 2013 年 12 月 股权 转让 许建颉将其持有的 400 万 元出资额转让给耿建华 1.03 元/出 资额 代持形成：耿建华代付建新持有...</x:v>
      </x:c>
    </x:row>
    <x:row r="99" ht="38" customHeight="1">
      <x:c r="A99" s="12" t="str">
        <x:v>W13-920522-010</x:v>
      </x:c>
      <x:c r="B99" s="12" t="str">
        <x:v>920522</x:v>
      </x:c>
      <x:c r="C99" s="12" t="str">
        <x:v>纳科诺尔</x:v>
      </x:c>
      <x:c r="D99" s="12" t="str">
        <x:v>股权转让</x:v>
      </x:c>
      <x:c r="E99" s="12" t="n">
        <x:v>41</x:v>
      </x:c>
      <x:c r="F99" s="12" t="str">
        <x:v>股权转让</x:v>
      </x:c>
      <x:c r="G99" s="12" t="str">
        <x:v>2014 年 4 月</x:v>
      </x:c>
      <x:c r="H99" s="12" t="str">
        <x:v>280 万元</x:v>
      </x:c>
      <x:c r="I99" s="12" t="str"/>
      <x:c r="J99" s="12" t="str">
        <x:v>7%</x:v>
      </x:c>
      <x:c r="K99" s="12" t="str">
        <x:v>中</x:v>
      </x:c>
      <x:c r="L99" s="12" t="str">
        <x:v>保留为Auto候选</x:v>
      </x:c>
      <x:c r="M99" s="12" t="str">
        <x:v>1-2-4-40 形成。 本次股权转让后，纳科诺尔有限名义持股与实际持股情况如下： 序号 登记的股东及股权结构 实际的股东及股权结构 股东姓名 出资额 （万元） 持股比例 （%） 股东姓名 出资额 （万元） 持股比例 （%） 1 付建新 1,600.00 40.00 付建新 2,000.00 50.00 2 穆吉峰 1,200.00 30.00 穆吉峰...</x:v>
      </x:c>
    </x:row>
    <x:row r="100" ht="38" customHeight="1">
      <x:c r="A100" s="12" t="str">
        <x:v>W13-920522-011</x:v>
      </x:c>
      <x:c r="B100" s="12" t="str">
        <x:v>920522</x:v>
      </x:c>
      <x:c r="C100" s="12" t="str">
        <x:v>纳科诺尔</x:v>
      </x:c>
      <x:c r="D100" s="12" t="str">
        <x:v>股权转让</x:v>
      </x:c>
      <x:c r="E100" s="12" t="n">
        <x:v>42</x:v>
      </x:c>
      <x:c r="F100" s="12" t="str">
        <x:v>股权转让</x:v>
      </x:c>
      <x:c r="G100" s="12" t="str">
        <x:v>2014 年 10 月 3 日</x:v>
      </x:c>
      <x:c r="H100" s="12" t="str">
        <x:v>90 万元</x:v>
      </x:c>
      <x:c r="I100" s="12" t="str"/>
      <x:c r="J100" s="12" t="str">
        <x:v>2.25%</x:v>
      </x:c>
      <x:c r="K100" s="12" t="str">
        <x:v>中</x:v>
      </x:c>
      <x:c r="L100" s="12" t="str">
        <x:v>保留为Auto候选</x:v>
      </x:c>
      <x:c r="M100" s="12" t="str">
        <x:v>1-2-4-41 2014 年 10 月 3 日，耿建华与李志刚、张进修、郑立刚、张庆元签订《股权转让协议》 ，约定： 耿建华将其在纳科诺尔有限 90 万元出资额（占注册资本的 2.25%）分别转让给李志刚 30 万元，转 让给张进修 30 万元，转让给郑立刚 15 万元，转让给张庆元 15 万元，转让价格为每 1 元出资额 1.6 元。同日，纳科诺尔...</x:v>
      </x:c>
    </x:row>
    <x:row r="101" ht="38" customHeight="1">
      <x:c r="A101" s="12" t="str">
        <x:v>W13-920522-012</x:v>
      </x:c>
      <x:c r="B101" s="12" t="str">
        <x:v>920522</x:v>
      </x:c>
      <x:c r="C101" s="12" t="str">
        <x:v>纳科诺尔</x:v>
      </x:c>
      <x:c r="D101" s="12" t="str">
        <x:v>股权转让</x:v>
      </x:c>
      <x:c r="E101" s="12" t="n">
        <x:v>51</x:v>
      </x:c>
      <x:c r="F101" s="12" t="str">
        <x:v>股权转让</x:v>
      </x:c>
      <x:c r="G101" s="12" t="str">
        <x:v>2020 年 5 月</x:v>
      </x:c>
      <x:c r="H101" s="12" t="str">
        <x:v>40.00 万元</x:v>
      </x:c>
      <x:c r="I101" s="12" t="str"/>
      <x:c r="J101" s="12" t="str">
        <x:v>8.00%</x:v>
      </x:c>
      <x:c r="K101" s="12" t="str">
        <x:v>中</x:v>
      </x:c>
      <x:c r="L101" s="12" t="str">
        <x:v>保留为Auto候选</x:v>
      </x:c>
      <x:c r="M101" s="12" t="str">
        <x:v>对外投资单位名称 投资金额 投资比例 付建新 董事长 北京晨赢科技有限公司 40.00 万元 8.00% 蔡军志 财务总监 邢台君信税务师事务所 9.50 万元 86.36% 邢台欣欣税务师事务所 有限公司 2.75 万元 5.00% 注 1：2020 年 5 月，付建新与何茂林签署了《股权转让协议》将其持有的北京晨赢科技有限公司40 万元出资额转让给...</x:v>
      </x:c>
    </x:row>
    <x:row r="102" ht="38" customHeight="1">
      <x:c r="A102" s="12" t="str">
        <x:v>W13-920522-013</x:v>
      </x:c>
      <x:c r="B102" s="12" t="str">
        <x:v>920522</x:v>
      </x:c>
      <x:c r="C102" s="12" t="str">
        <x:v>纳科诺尔</x:v>
      </x:c>
      <x:c r="D102" s="12" t="str">
        <x:v>股权转让</x:v>
      </x:c>
      <x:c r="E102" s="12" t="n">
        <x:v>115</x:v>
      </x:c>
      <x:c r="F102" s="12" t="str">
        <x:v>大宗交易</x:v>
      </x:c>
      <x:c r="G102" s="12" t="str">
        <x:v>2020 年 7 月</x:v>
      </x:c>
      <x:c r="H102" s="12" t="str"/>
      <x:c r="I102" s="12" t="str"/>
      <x:c r="J102" s="12" t="str">
        <x:v>5%</x:v>
      </x:c>
      <x:c r="K102" s="12" t="str">
        <x:v>中</x:v>
      </x:c>
      <x:c r="L102" s="12" t="str">
        <x:v>保留为Auto候选</x:v>
      </x:c>
      <x:c r="M102" s="12" t="str">
        <x:v>公司财务总监，2020 年 7 月离任 7 任华 曾任公司董事，2021 年 12 月离任 8 楚叶飞 曾任公司监事，2020 年 8 月离任 9 孟祥聚 曾任公司副总经理，2020 年 7 月离任 10 邢新基金 报告期内，曾直接持有发行人 5%以上股份的股东。2021 年 11 月，通过大宗交易方式退出 11 亿禾兴业（北京）资产 管理有限公司 报...</x:v>
      </x:c>
    </x:row>
    <x:row r="103" ht="38" customHeight="1">
      <x:c r="A103" s="12" t="str">
        <x:v>W13-920522-014</x:v>
      </x:c>
      <x:c r="B103" s="12" t="str">
        <x:v>920522</x:v>
      </x:c>
      <x:c r="C103" s="12" t="str">
        <x:v>纳科诺尔</x:v>
      </x:c>
      <x:c r="D103" s="12" t="str">
        <x:v>股权转让</x:v>
      </x:c>
      <x:c r="E103" s="12" t="n">
        <x:v>45</x:v>
      </x:c>
      <x:c r="F103" s="12" t="str">
        <x:v>股份回购</x:v>
      </x:c>
      <x:c r="G103" s="12" t="str">
        <x:v>2023 年 1 月 11 日</x:v>
      </x:c>
      <x:c r="H103" s="12" t="str"/>
      <x:c r="I103" s="12" t="str"/>
      <x:c r="J103" s="12" t="str"/>
      <x:c r="K103" s="12" t="str">
        <x:v>中</x:v>
      </x:c>
      <x:c r="L103" s="12" t="str">
        <x:v>保留为Auto候选</x:v>
      </x:c>
      <x:c r="M103" s="12" t="str">
        <x:v>1-2-4-44 北京证券交易所递交合格上市的 公开发行股票申请文件并取得正 式受理之日无条件不可撤销地终 止，不附恢复条件。 发行人控股股东、实际控制人付建新、穆吉峰、耿建华与邢新基金签署过的投资协议包括其所 涉及的股份回购条款已经彻底终止，邢新基金已经通过大宗交易方式退出，发行人及其控股股东、 实际控制人不会承担任何合同义务；发行人控股股东、实际控...</x:v>
      </x:c>
    </x:row>
    <x:row r="104" ht="38" customHeight="1">
      <x:c r="A104" s="12" t="str">
        <x:v>W13-920522-015</x:v>
      </x:c>
      <x:c r="B104" s="12" t="str">
        <x:v>920522</x:v>
      </x:c>
      <x:c r="C104" s="12" t="str">
        <x:v>纳科诺尔</x:v>
      </x:c>
      <x:c r="D104" s="12" t="str">
        <x:v>股权转让</x:v>
      </x:c>
      <x:c r="E104" s="12" t="n">
        <x:v>110</x:v>
      </x:c>
      <x:c r="F104" s="12" t="str">
        <x:v>股份转让</x:v>
      </x:c>
      <x:c r="G104" s="12" t="str">
        <x:v>2023 年 4 月 4 日</x:v>
      </x:c>
      <x:c r="H104" s="12" t="str"/>
      <x:c r="I104" s="12" t="str"/>
      <x:c r="J104" s="12" t="str"/>
      <x:c r="K104" s="12" t="str">
        <x:v>低</x:v>
      </x:c>
      <x:c r="L104" s="12" t="str">
        <x:v>排除为转让系统语境</x:v>
      </x:c>
      <x:c r="M104" s="12" t="str">
        <x:v>1-2-4-109 护公司和全体股东的合法权益。 （四）独立董事制度的建立健全及运行情况 为了进一步完善公司治理结构，根据《公司法》 《全国中小企业股份转让系统挂牌公司治理规 则》等有关规定，公司制定了《独立董事工作制度》 。截至本招股说明书签署日，公司独立董事人 数为 3 名，符合相关规定。公司独立董事自聘任以来严格按照法律、法规、规范性文件及《公司...</x:v>
      </x:c>
    </x:row>
    <x:row r="105" ht="38" customHeight="1">
      <x:c r="A105" s="12" t="str">
        <x:v>W13-920522-016</x:v>
      </x:c>
      <x:c r="B105" s="12" t="str">
        <x:v>920522</x:v>
      </x:c>
      <x:c r="C105" s="12" t="str">
        <x:v>纳科诺尔</x:v>
      </x:c>
      <x:c r="D105" s="12" t="str">
        <x:v>股权快照</x:v>
      </x:c>
      <x:c r="E105" s="12" t="n">
        <x:v>40</x:v>
      </x:c>
      <x:c r="F105" s="12" t="str">
        <x:v>持股数量</x:v>
      </x:c>
      <x:c r="G105" s="12" t="str">
        <x:v>2013 年 12 月</x:v>
      </x:c>
      <x:c r="H105" s="12" t="str">
        <x:v>1.03 元</x:v>
      </x:c>
      <x:c r="I105" s="12" t="str"/>
      <x:c r="J105" s="12" t="str"/>
      <x:c r="K105" s="12" t="str">
        <x:v>中</x:v>
      </x:c>
      <x:c r="L105" s="12" t="str">
        <x:v>保留为Auto候选</x:v>
      </x:c>
      <x:c r="M105" s="12" t="str">
        <x:v>1-2-4-39 尚未完成解除限售。 注 2：公司董事、总经理李志刚由激励计划授予的限制性股票第一个限售期届满，由于其关于本次 发行的承诺仍需继续限售。 注 3：公司前十名自然人股东赵勇及饶燕持股数量的变化系其通过二级市场自由交易。 （三） 主要股东间关联关系的具体情况 序号 关联方股东名称 关联关系描述 1 付建新 付建新、穆吉峰、耿建华为一致行动人...</x:v>
      </x:c>
    </x:row>
    <x:row r="106" ht="38" customHeight="1">
      <x:c r="A106" s="12" t="str">
        <x:v>W13-920522-017</x:v>
      </x:c>
      <x:c r="B106" s="12" t="str">
        <x:v>920522</x:v>
      </x:c>
      <x:c r="C106" s="12" t="str">
        <x:v>纳科诺尔</x:v>
      </x:c>
      <x:c r="D106" s="12" t="str">
        <x:v>股权快照</x:v>
      </x:c>
      <x:c r="E106" s="12" t="n">
        <x:v>41</x:v>
      </x:c>
      <x:c r="F106" s="12" t="str">
        <x:v>持股比例</x:v>
      </x:c>
      <x:c r="G106" s="12" t="str">
        <x:v>2014 年 4 月</x:v>
      </x:c>
      <x:c r="H106" s="12" t="str">
        <x:v>280 万元</x:v>
      </x:c>
      <x:c r="I106" s="12" t="str"/>
      <x:c r="J106" s="12" t="str">
        <x:v>7%</x:v>
      </x:c>
      <x:c r="K106" s="12" t="str">
        <x:v>中</x:v>
      </x:c>
      <x:c r="L106" s="12" t="str">
        <x:v>保留为Auto候选</x:v>
      </x:c>
      <x:c r="M106" s="12" t="str">
        <x:v>1-2-4-40 形成。 本次股权转让后，纳科诺尔有限名义持股与实际持股情况如下： 序号 登记的股东及股权结构 实际的股东及股权结构 股东姓名 出资额 （万元） 持股比例 （%） 股东姓名 出资额 （万元） 持股比例 （%） 1 付建新 1,600.00 40.00 付建新 2,000.00 50.00 2 穆吉峰 1,200.00 30.00 穆吉峰...</x:v>
      </x:c>
    </x:row>
    <x:row r="107" ht="38" customHeight="1">
      <x:c r="A107" s="12" t="str">
        <x:v>W13-920522-018</x:v>
      </x:c>
      <x:c r="B107" s="12" t="str">
        <x:v>920522</x:v>
      </x:c>
      <x:c r="C107" s="12" t="str">
        <x:v>纳科诺尔</x:v>
      </x:c>
      <x:c r="D107" s="12" t="str">
        <x:v>股权快照</x:v>
      </x:c>
      <x:c r="E107" s="12" t="n">
        <x:v>42</x:v>
      </x:c>
      <x:c r="F107" s="12" t="str">
        <x:v>持股比例</x:v>
      </x:c>
      <x:c r="G107" s="12" t="str">
        <x:v>2014 年 10 月</x:v>
      </x:c>
      <x:c r="H107" s="12" t="str">
        <x:v>1.6 元</x:v>
      </x:c>
      <x:c r="I107" s="12" t="str"/>
      <x:c r="J107" s="12" t="str">
        <x:v>0.75%</x:v>
      </x:c>
      <x:c r="K107" s="12" t="str">
        <x:v>中</x:v>
      </x:c>
      <x:c r="L107" s="12" t="str">
        <x:v>保留为Auto候选</x:v>
      </x:c>
      <x:c r="M107" s="12" t="str">
        <x:v>额 1.6 元。同日，纳科诺尔有限召开股东会会议并作出决议，同意上述股权转让事项并修改公司章程。 2014 年 10 月，公司办理了工商登记变更，本次股权转让完成后，纳科诺尔有限名义持股与实 际持股情况如下： 序号 登记的股东及股权结构 实际的股东及股权结构 股东姓名 出资额 （万元） 持股比例 （%） 股东姓名 出资额 （万元） 持股比例 （%） 1...</x:v>
      </x:c>
    </x:row>
    <x:row r="108" ht="38" customHeight="1">
      <x:c r="A108" s="12" t="str">
        <x:v>W13-920522-019</x:v>
      </x:c>
      <x:c r="B108" s="12" t="str">
        <x:v>920522</x:v>
      </x:c>
      <x:c r="C108" s="12" t="str">
        <x:v>纳科诺尔</x:v>
      </x:c>
      <x:c r="D108" s="12" t="str">
        <x:v>股权快照</x:v>
      </x:c>
      <x:c r="E108" s="12" t="n">
        <x:v>29</x:v>
      </x:c>
      <x:c r="F108" s="12" t="str">
        <x:v>持股比例</x:v>
      </x:c>
      <x:c r="G108" s="12" t="str"/>
      <x:c r="H108" s="12" t="str"/>
      <x:c r="I108" s="12" t="str">
        <x:v>2,000.00 万股</x:v>
      </x:c>
      <x:c r="J108" s="12" t="str">
        <x:v>38.29%</x:v>
      </x:c>
      <x:c r="K108" s="12" t="str">
        <x:v>中</x:v>
      </x:c>
      <x:c r="L108" s="12" t="str">
        <x:v>保留为Auto候选</x:v>
      </x:c>
      <x:c r="M108" s="12" t="str">
        <x:v>。根据付建新、穆吉峰及耿建华签署 的《一致行动人协议》 ，三人合计控制发行人 38.29%的股份。按本次拟公开发行 2,000.00 万股计算 （不考虑超额配售选择权） ，发行后付建新、穆吉峰及耿建华三人合计控制公司的股权比例将被进 一步稀释至 29.82%。 公开发行后付建新、 穆吉峰及耿建华三人持股比例较低， 虽然三人已采取相应 措施维持公司控制权...</x:v>
      </x:c>
    </x:row>
    <x:row r="109" ht="38" customHeight="1">
      <x:c r="A109" s="12" t="str">
        <x:v>W13-920522-020</x:v>
      </x:c>
      <x:c r="B109" s="12" t="str">
        <x:v>920522</x:v>
      </x:c>
      <x:c r="C109" s="12" t="str">
        <x:v>纳科诺尔</x:v>
      </x:c>
      <x:c r="D109" s="12" t="str">
        <x:v>股权快照</x:v>
      </x:c>
      <x:c r="E109" s="12" t="n">
        <x:v>8</x:v>
      </x:c>
      <x:c r="F109" s="12" t="str">
        <x:v>持股比例</x:v>
      </x:c>
      <x:c r="G109" s="12" t="str"/>
      <x:c r="H109" s="12" t="str"/>
      <x:c r="I109" s="12" t="str">
        <x:v>2,000.00 万股</x:v>
      </x:c>
      <x:c r="J109" s="12" t="str">
        <x:v>38.29%</x:v>
      </x:c>
      <x:c r="K109" s="12" t="str">
        <x:v>中</x:v>
      </x:c>
      <x:c r="L109" s="12" t="str">
        <x:v>保留为Auto候选</x:v>
      </x:c>
      <x:c r="M109" s="12" t="str">
        <x:v>华。根据付建新、穆吉峰及耿建华签署 的《一致行动人协议》 ，三人合计控制发行人38.29%的股份。按本次拟公开发行 2,000.00 万股计算 （不考虑超额配售选择权） ，发行后付建新、穆吉峰及耿建华三人合计控制公司的股权比例将被进 一步稀释至 29.82%。 公开发行后付建新、 穆吉峰及耿建华三人持股比例较低， 虽然三人已采取相应 措施维持公司控制权...</x:v>
      </x:c>
    </x:row>
    <x:row r="110" ht="38" customHeight="1">
      <x:c r="A110" s="12" t="str">
        <x:v>W13-920522-021</x:v>
      </x:c>
      <x:c r="B110" s="12" t="str">
        <x:v>920522</x:v>
      </x:c>
      <x:c r="C110" s="12" t="str">
        <x:v>纳科诺尔</x:v>
      </x:c>
      <x:c r="D110" s="12" t="str">
        <x:v>股权快照</x:v>
      </x:c>
      <x:c r="E110" s="12" t="n">
        <x:v>34</x:v>
      </x:c>
      <x:c r="F110" s="12" t="str">
        <x:v>持股数量</x:v>
      </x:c>
      <x:c r="G110" s="12" t="str"/>
      <x:c r="H110" s="12" t="str"/>
      <x:c r="I110" s="12" t="str"/>
      <x:c r="J110" s="12" t="str">
        <x:v>5%</x:v>
      </x:c>
      <x:c r="K110" s="12" t="str">
        <x:v>中</x:v>
      </x:c>
      <x:c r="L110" s="12" t="str">
        <x:v>保留为Auto候选</x:v>
      </x:c>
      <x:c r="M110" s="12" t="str">
        <x:v>公司控股股东、实际控制人情况详见本招股说明书 “第二节 概览”之“二、发行人及其控股 股东、实际控制人的情况”之“（二）发行人控股股东、实际控制人情况”。 （二） 持有发行人 5%以上股份的其他主要股东 截至本招股说明书签署日，持有发行人 5%以上股份的其他主要股东情况如下： 序号 名称 持股数量（股） 持股比例（%） 1 京津冀产业协同发展投资基金（...</x:v>
      </x:c>
    </x:row>
    <x:row r="111" ht="38" customHeight="1">
      <x:c r="A111" s="12" t="str">
        <x:v>W13-920522-022</x:v>
      </x:c>
      <x:c r="B111" s="12" t="str">
        <x:v>920522</x:v>
      </x:c>
      <x:c r="C111" s="12" t="str">
        <x:v>纳科诺尔</x:v>
      </x:c>
      <x:c r="D111" s="12" t="str">
        <x:v>股权快照</x:v>
      </x:c>
      <x:c r="E111" s="12" t="n">
        <x:v>37</x:v>
      </x:c>
      <x:c r="F111" s="12" t="str">
        <x:v>持股比例</x:v>
      </x:c>
      <x:c r="G111" s="12" t="str">
        <x:v>2018 年 1 月 17 日</x:v>
      </x:c>
      <x:c r="H111" s="12" t="str">
        <x:v>4,000,000 万元</x:v>
      </x:c>
      <x:c r="I111" s="12" t="str"/>
      <x:c r="J111" s="12" t="str"/>
      <x:c r="K111" s="12" t="str">
        <x:v>高</x:v>
      </x:c>
      <x:c r="L111" s="12" t="str">
        <x:v>保留为Auto候选</x:v>
      </x:c>
      <x:c r="M111" s="12" t="str">
        <x:v>1-2-4-36 序号 股东名称 出资额（万元） 持股比例（%） 1 粤港澳大湾区产融投资有限公司 300,000.00 100.00 合计 300,000.00 100.00 粤港澳大湾区产融投资有限公司的基本登记信息如下： 名称 粤港澳大湾区产融投资有限公司 统一社会信用代码 91440101MA5APB7Y43 住所 广州市增城区新塘镇民营西一路...</x:v>
      </x:c>
    </x:row>
    <x:row r="112" ht="38" customHeight="1">
      <x:c r="A112" s="12" t="str">
        <x:v>W13-920522-023</x:v>
      </x:c>
      <x:c r="B112" s="12" t="str">
        <x:v>920522</x:v>
      </x:c>
      <x:c r="C112" s="12" t="str">
        <x:v>纳科诺尔</x:v>
      </x:c>
      <x:c r="D112" s="12" t="str">
        <x:v>股权快照</x:v>
      </x:c>
      <x:c r="E112" s="12" t="n">
        <x:v>39</x:v>
      </x:c>
      <x:c r="F112" s="12" t="str">
        <x:v>持股数量</x:v>
      </x:c>
      <x:c r="G112" s="12" t="str">
        <x:v>2023 年 9 月 13 日</x:v>
      </x:c>
      <x:c r="H112" s="12" t="str"/>
      <x:c r="I112" s="12" t="str">
        <x:v>20,000,000 股</x:v>
      </x:c>
      <x:c r="J112" s="12" t="str">
        <x:v>22.13%</x:v>
      </x:c>
      <x:c r="K112" s="12" t="str">
        <x:v>高</x:v>
      </x:c>
      <x:c r="L112" s="12" t="str">
        <x:v>保留为Auto候选</x:v>
      </x:c>
      <x:c r="M112" s="12" t="str">
        <x:v>占发行后总股本的22.13%。本次发行均为新股，不涉及股东公开发售股份。 根据 2023 年 9 月 13 日的《全体证券持有人名册》 ，按照本次发行20,000,000 股测算（不考虑 超额配售选择权） ，本次发行前后公司的股权结构变化如下表所示： 序号 股东名称 本次发行前 本次发行后 持股数量 持股比例 持股数量 持股比例 1 付建新 13,42...</x:v>
      </x:c>
    </x:row>
    <x:row r="113" ht="38" customHeight="1">
      <x:c r="A113" s="12" t="str">
        <x:v>W13-920522-024</x:v>
      </x:c>
      <x:c r="B113" s="12" t="str">
        <x:v>920522</x:v>
      </x:c>
      <x:c r="C113" s="12" t="str">
        <x:v>纳科诺尔</x:v>
      </x:c>
      <x:c r="D113" s="12" t="str">
        <x:v>基金备案</x:v>
      </x:c>
      <x:c r="E113" s="12" t="n">
        <x:v>35</x:v>
      </x:c>
      <x:c r="F113" s="12" t="str">
        <x:v>基金业协会</x:v>
      </x:c>
      <x:c r="G113" s="12" t="str">
        <x:v>2017 年 9 月 20 日</x:v>
      </x:c>
      <x:c r="H113" s="12" t="str"/>
      <x:c r="I113" s="12" t="str"/>
      <x:c r="J113" s="12" t="str">
        <x:v>0.11%</x:v>
      </x:c>
      <x:c r="K113" s="12" t="str">
        <x:v>中</x:v>
      </x:c>
      <x:c r="L113" s="12" t="str">
        <x:v>保留为Auto候选</x:v>
      </x:c>
      <x:c r="M113" s="12" t="str">
        <x:v>中心（有限合伙） 1,000.00 0.11% 有限合伙人 18 中丽 （天津） 产城融合发展基金合伙企业 （有限合伙） 600.00 0.06% 有限合伙人 合计 932,000.00 100.00% - 京津冀基金于 2017 年 9 月 20 日成立，于 2018 年 11 月 9 日在基金业协会登记备案，基金编号 为 SED204，基金类型为股...</x:v>
      </x:c>
    </x:row>
    <x:row r="114" ht="38" customHeight="1">
      <x:c r="A114" s="12" t="str">
        <x:v>W13-920522-025</x:v>
      </x:c>
      <x:c r="B114" s="12" t="str">
        <x:v>920522</x:v>
      </x:c>
      <x:c r="C114" s="12" t="str">
        <x:v>纳科诺尔</x:v>
      </x:c>
      <x:c r="D114" s="12" t="str">
        <x:v>基金备案</x:v>
      </x:c>
      <x:c r="E114" s="12" t="n">
        <x:v>36</x:v>
      </x:c>
      <x:c r="F114" s="12" t="str">
        <x:v>基金业协会</x:v>
      </x:c>
      <x:c r="G114" s="12" t="str">
        <x:v>2017 年 9 月 29 日</x:v>
      </x:c>
      <x:c r="H114" s="12" t="str">
        <x:v>300,000 万元</x:v>
      </x:c>
      <x:c r="I114" s="12" t="str"/>
      <x:c r="J114" s="12" t="str">
        <x:v>5.01%</x:v>
      </x:c>
      <x:c r="K114" s="12" t="str">
        <x:v>高</x:v>
      </x:c>
      <x:c r="L114" s="12" t="str">
        <x:v>保留为Auto候选</x:v>
      </x:c>
      <x:c r="M114" s="12" t="str">
        <x:v>00 5.01% 北京水木华研投资管理有限公司 497.00 4.97% 菲仕绿能科技（北京）有限公司 497.00 4.97% 合计 10,000.00 100.00% 国投招商投资管理有限公司系私募基金管理人，其于 2017 年 9 月 29 日成立，于 2018 年 6 月 25 日在基金业协会办理了私募基金管理人登记，登记编号为 P106847...</x:v>
      </x:c>
    </x:row>
    <x:row r="115" ht="38" customHeight="1">
      <x:c r="A115" s="12" t="str">
        <x:v>W13-920522-026</x:v>
      </x:c>
      <x:c r="B115" s="12" t="str">
        <x:v>920522</x:v>
      </x:c>
      <x:c r="C115" s="12" t="str">
        <x:v>纳科诺尔</x:v>
      </x:c>
      <x:c r="D115" s="12" t="str">
        <x:v>特殊投资条款</x:v>
      </x:c>
      <x:c r="E115" s="12" t="n">
        <x:v>44</x:v>
      </x:c>
      <x:c r="F115" s="12" t="str">
        <x:v>对赌</x:v>
      </x:c>
      <x:c r="G115" s="12" t="str">
        <x:v>2018 年 11 月 26 日</x:v>
      </x:c>
      <x:c r="H115" s="12" t="str"/>
      <x:c r="I115" s="12" t="str">
        <x:v>105.60 万股</x:v>
      </x:c>
      <x:c r="J115" s="12" t="str">
        <x:v>0.93%</x:v>
      </x:c>
      <x:c r="K115" s="12" t="str">
        <x:v>中</x:v>
      </x:c>
      <x:c r="L115" s="12" t="str">
        <x:v>保留为Auto候选</x:v>
      </x:c>
      <x:c r="M115" s="12" t="str">
        <x:v>限 售数量为 105.60 万股,其中激励对象为董事、 高级管理人员的股份合计 40.05 万股，由于其关于本次 发行的承诺仍需继续限售，本次实际解除限售 65.55 万股，占公司总股本 0.93%，截止至本招股说 明书签署日已完成解除限售。 （二）控股股东、实际控制人与公司其他股东之间曾经存在的对赌协议等特殊协议或安排及解除情 况 发行人控股股东、实...</x:v>
      </x:c>
    </x:row>
    <x:row r="116" ht="38" customHeight="1">
      <x:c r="A116" s="12" t="str">
        <x:v>W13-920099-001</x:v>
      </x:c>
      <x:c r="B116" s="12" t="str">
        <x:v>920099</x:v>
      </x:c>
      <x:c r="C116" s="12" t="str">
        <x:v>瑞华技术</x:v>
      </x:c>
      <x:c r="D116" s="12" t="str">
        <x:v>增资认缴</x:v>
      </x:c>
      <x:c r="E116" s="12" t="n">
        <x:v>34</x:v>
      </x:c>
      <x:c r="F116" s="12" t="str">
        <x:v>定向发行</x:v>
      </x:c>
      <x:c r="G116" s="12" t="str">
        <x:v>2020 年 7 月 28 日</x:v>
      </x:c>
      <x:c r="H116" s="12" t="str"/>
      <x:c r="I116" s="12" t="str"/>
      <x:c r="J116" s="12" t="str"/>
      <x:c r="K116" s="12" t="str">
        <x:v>中</x:v>
      </x:c>
      <x:c r="L116" s="12" t="str">
        <x:v>保留为Auto候选</x:v>
      </x:c>
      <x:c r="M116" s="12" t="str">
        <x:v>2022 年、2023 年的年报 审计机构均为立信中联会计师事务所（特殊普通合伙）。 （七） 股票交易方式及其变更情况 公司股票自挂牌之日起至今，交易方式为集合竞价交易方式。 （八） 报告期内发行融资情况 报告期内， 发行人不存在发行股票融资情况。2020 年，发行人实施了一次 股票定向发行融资，具体情况如下： 单位：元/股、股、元 股东大会 决议日 ...</x:v>
      </x:c>
    </x:row>
    <x:row r="117" ht="38" customHeight="1">
      <x:c r="A117" s="12" t="str">
        <x:v>W13-920099-002</x:v>
      </x:c>
      <x:c r="B117" s="12" t="str">
        <x:v>920099</x:v>
      </x:c>
      <x:c r="C117" s="12" t="str">
        <x:v>瑞华技术</x:v>
      </x:c>
      <x:c r="D117" s="12" t="str">
        <x:v>增资认缴</x:v>
      </x:c>
      <x:c r="E117" s="12" t="n">
        <x:v>35</x:v>
      </x:c>
      <x:c r="F117" s="12" t="str">
        <x:v>定向发行</x:v>
      </x:c>
      <x:c r="G117" s="12" t="str">
        <x:v>2020 年 11 月 26 日</x:v>
      </x:c>
      <x:c r="H117" s="12" t="str">
        <x:v>9,291.20 万元</x:v>
      </x:c>
      <x:c r="I117" s="12" t="str">
        <x:v>35,800,000 股</x:v>
      </x:c>
      <x:c r="J117" s="12" t="str"/>
      <x:c r="K117" s="12" t="str">
        <x:v>高</x:v>
      </x:c>
      <x:c r="L117" s="12" t="str">
        <x:v>保留为Auto候选</x:v>
      </x:c>
      <x:c r="M117" s="12" t="str">
        <x:v>中小企业发展基金（有限合伙） 公司于 2020 年 11 月 26 日召开第一届董事会第十三次会议及第一届监事 会第八次会议、2020 年 12 月 15 日召开 2020 年第二次临时股东大会，审议通 过《关于变更募集资金用途》的议案，变更部分募集资金用途为购买资产。变 更后，公司 2020 年定向发行的募集资金用途为补充流动资金 9,291.20 ...</x:v>
      </x:c>
    </x:row>
    <x:row r="118" ht="38" customHeight="1">
      <x:c r="A118" s="12" t="str">
        <x:v>W13-920099-003</x:v>
      </x:c>
      <x:c r="B118" s="12" t="str">
        <x:v>920099</x:v>
      </x:c>
      <x:c r="C118" s="12" t="str">
        <x:v>瑞华技术</x:v>
      </x:c>
      <x:c r="D118" s="12" t="str">
        <x:v>股权转让</x:v>
      </x:c>
      <x:c r="E118" s="12" t="n">
        <x:v>43</x:v>
      </x:c>
      <x:c r="F118" s="12" t="str">
        <x:v>转让给</x:v>
      </x:c>
      <x:c r="G118" s="12" t="str">
        <x:v>2021 年 1 月</x:v>
      </x:c>
      <x:c r="H118" s="12" t="str">
        <x:v>11.93 元</x:v>
      </x:c>
      <x:c r="I118" s="12" t="str">
        <x:v>1,676,445 股</x:v>
      </x:c>
      <x:c r="J118" s="12" t="str">
        <x:v>2.794075%</x:v>
      </x:c>
      <x:c r="K118" s="12" t="str">
        <x:v>中</x:v>
      </x:c>
      <x:c r="L118" s="12" t="str">
        <x:v>保留为Auto候选</x:v>
      </x:c>
      <x:c r="M118" s="12" t="str">
        <x:v>1-1-42 1、甲方（徐志刚）同意按照本协议约定的条件和方式将其持有的瑞华技 术 2.794075%的股份 （对应股数为1,676,445 股)转让给乙方 （中信建投投资） ， 乙方同意按照本协议约定的条件和方式受让。 2、本次股权受让乙方已经履行了必要的内部决策程序，取得其决策机构 的批准。 3、乙方与瑞华技术其他股东、董事、监事、高级管理人员不存...</x:v>
      </x:c>
    </x:row>
    <x:row r="119" ht="38" customHeight="1">
      <x:c r="A119" s="12" t="str">
        <x:v>W13-920099-004</x:v>
      </x:c>
      <x:c r="B119" s="12" t="str">
        <x:v>920099</x:v>
      </x:c>
      <x:c r="C119" s="12" t="str">
        <x:v>瑞华技术</x:v>
      </x:c>
      <x:c r="D119" s="12" t="str">
        <x:v>股权转让</x:v>
      </x:c>
      <x:c r="E119" s="12" t="n">
        <x:v>12</x:v>
      </x:c>
      <x:c r="F119" s="12" t="str">
        <x:v>股份转让</x:v>
      </x:c>
      <x:c r="G119" s="12" t="str"/>
      <x:c r="H119" s="12" t="str"/>
      <x:c r="I119" s="12" t="str"/>
      <x:c r="J119" s="12" t="str"/>
      <x:c r="K119" s="12" t="str">
        <x:v>低</x:v>
      </x:c>
      <x:c r="L119" s="12" t="str">
        <x:v>排除为转让系统语境</x:v>
      </x:c>
      <x:c r="M119" s="12" t="str">
        <x:v>上市规则》 指 《北京证券交易所股票上市规则（试行）》 招股说明书 指 《常州瑞华化工工程技术股份有限公司招股说明书》 本次发行、本次公开发行 指 发行人本次向不特定合格投资者公开发行股票并在 北京证券交易所上市 中国证监会、证监会 指 中国证券监督管理委员会 全国股转系统 指 全国中小企业股份转让系统 全国股转公司 指 全国中小企业股份转让系统有限责...</x:v>
      </x:c>
    </x:row>
    <x:row r="120" ht="38" customHeight="1">
      <x:c r="A120" s="12" t="str">
        <x:v>W13-920099-005</x:v>
      </x:c>
      <x:c r="B120" s="12" t="str">
        <x:v>920099</x:v>
      </x:c>
      <x:c r="C120" s="12" t="str">
        <x:v>瑞华技术</x:v>
      </x:c>
      <x:c r="D120" s="12" t="str">
        <x:v>股权转让</x:v>
      </x:c>
      <x:c r="E120" s="12" t="n">
        <x:v>44</x:v>
      </x:c>
      <x:c r="F120" s="12" t="str">
        <x:v>股权转让</x:v>
      </x:c>
      <x:c r="G120" s="12" t="str">
        <x:v>2022 年 6 月 30 日</x:v>
      </x:c>
      <x:c r="H120" s="12" t="str"/>
      <x:c r="I120" s="12" t="str"/>
      <x:c r="J120" s="12" t="str">
        <x:v>8%</x:v>
      </x:c>
      <x:c r="K120" s="12" t="str">
        <x:v>中</x:v>
      </x:c>
      <x:c r="L120" s="12" t="str">
        <x:v>保留为Auto候选</x:v>
      </x:c>
      <x:c r="M120" s="12" t="str">
        <x:v>1-1-43 （1）标的公司未能在 2022 年 6 月 30 日申报 IPO 审核材料并获得受理， 将触发回购条款。 1.2 乙方提出回购要求的，甲方承诺按照乙方实际已支付的转让价款加上 按照 8%年利率单利计算资金占用成本的总和，股权转让价格的具体计算公式 如下： 股权转让价格=乙方实际已支付的转让价款*（1+8%*N/365）-乙方取得的 股息红...</x:v>
      </x:c>
    </x:row>
    <x:row r="121" ht="38" customHeight="1">
      <x:c r="A121" s="12" t="str">
        <x:v>W13-920099-006</x:v>
      </x:c>
      <x:c r="B121" s="12" t="str">
        <x:v>920099</x:v>
      </x:c>
      <x:c r="C121" s="12" t="str">
        <x:v>瑞华技术</x:v>
      </x:c>
      <x:c r="D121" s="12" t="str">
        <x:v>股权转让</x:v>
      </x:c>
      <x:c r="E121" s="12" t="n">
        <x:v>42</x:v>
      </x:c>
      <x:c r="F121" s="12" t="str">
        <x:v>大宗交易</x:v>
      </x:c>
      <x:c r="G121" s="12" t="str">
        <x:v>2021 年 2 月</x:v>
      </x:c>
      <x:c r="H121" s="12" t="str">
        <x:v>11.93 元</x:v>
      </x:c>
      <x:c r="I121" s="12" t="str">
        <x:v>1,676,445 股</x:v>
      </x:c>
      <x:c r="J121" s="12" t="str">
        <x:v>2.79%</x:v>
      </x:c>
      <x:c r="K121" s="12" t="str">
        <x:v>高</x:v>
      </x:c>
      <x:c r="L121" s="12" t="str">
        <x:v>保留为Auto候选</x:v>
      </x:c>
      <x:c r="M121" s="12" t="str">
        <x:v>金管理人为江苏毅达， 现 代创投的基金管理人为南京毅达，该等基金管理人由 南京毅达资本管理企业（有限合伙）的合伙人应文禄、 周春芳、尤劲柏、史云中、樊利平、黄韬实际控制 （四） 其他披露事项 1、实际控制人签订的对赌协议情况 2021 年 2 月，中信建投投资以 11.93 元/股价格通过大宗交易方式，从发 行人实际控制人徐志刚处受让 1,676,44...</x:v>
      </x:c>
    </x:row>
    <x:row r="122" ht="38" customHeight="1">
      <x:c r="A122" s="12" t="str">
        <x:v>W13-920099-007</x:v>
      </x:c>
      <x:c r="B122" s="12" t="str">
        <x:v>920099</x:v>
      </x:c>
      <x:c r="C122" s="12" t="str">
        <x:v>瑞华技术</x:v>
      </x:c>
      <x:c r="D122" s="12" t="str">
        <x:v>股权转让</x:v>
      </x:c>
      <x:c r="E122" s="12" t="n">
        <x:v>62</x:v>
      </x:c>
      <x:c r="F122" s="12" t="str">
        <x:v>大宗交易</x:v>
      </x:c>
      <x:c r="G122" s="12" t="str"/>
      <x:c r="H122" s="12" t="str"/>
      <x:c r="I122" s="12" t="str"/>
      <x:c r="J122" s="12" t="str">
        <x:v>1%</x:v>
      </x:c>
      <x:c r="K122" s="12" t="str">
        <x:v>中</x:v>
      </x:c>
      <x:c r="L122" s="12" t="str">
        <x:v>保留为Auto候选</x:v>
      </x:c>
      <x:c r="M122" s="12" t="str">
        <x:v>1-1-61 3、 本人将采用集中竞价、 大宗交易、 协议转让等法律、 法规允许的方式转 让公司股票，在锁定期满后 24 个月内，本人计划通过证券交易所集中竞价交 易减持股份的， 应当及时通知发行人， 并按照下列规定履行信息披露义务： （1） 在首次卖出股份的 15 个交易日前预先披露减持计划，每次披露的减持时间区 间不得超过 6 个月；（2）拟在 3...</x:v>
      </x:c>
    </x:row>
    <x:row r="123" ht="38" customHeight="1">
      <x:c r="A123" s="12" t="str">
        <x:v>W13-920099-008</x:v>
      </x:c>
      <x:c r="B123" s="12" t="str">
        <x:v>920099</x:v>
      </x:c>
      <x:c r="C123" s="12" t="str">
        <x:v>瑞华技术</x:v>
      </x:c>
      <x:c r="D123" s="12" t="str">
        <x:v>股权转让</x:v>
      </x:c>
      <x:c r="E123" s="12" t="n">
        <x:v>63</x:v>
      </x:c>
      <x:c r="F123" s="12" t="str">
        <x:v>大宗交易</x:v>
      </x:c>
      <x:c r="G123" s="12" t="str"/>
      <x:c r="H123" s="12" t="str"/>
      <x:c r="I123" s="12" t="str"/>
      <x:c r="J123" s="12" t="str">
        <x:v>25%</x:v>
      </x:c>
      <x:c r="K123" s="12" t="str">
        <x:v>低</x:v>
      </x:c>
      <x:c r="L123" s="12" t="str">
        <x:v>保留为Auto候选</x:v>
      </x:c>
      <x:c r="M123" s="12" t="str">
        <x:v>4 个月内若减持公司股票， 本人将严格遵守中国证监会、 证券交易所关于股东减 持的相关规定，每年减持数量不超过本人直接或间接持有公司股票总数的 25%，减持价格不低于发行价（若公司股份在该期间内发生派息、送股、资本 公积转增股本等除权除息事项的，发行价应相应调整） ； 3、 本人将采用集中竞价、 大宗交易、 协议转让等法律、 法规允许的方式转 让公司股...</x:v>
      </x:c>
    </x:row>
    <x:row r="124" ht="38" customHeight="1">
      <x:c r="A124" s="12" t="str">
        <x:v>W13-920099-009</x:v>
      </x:c>
      <x:c r="B124" s="12" t="str">
        <x:v>920099</x:v>
      </x:c>
      <x:c r="C124" s="12" t="str">
        <x:v>瑞华技术</x:v>
      </x:c>
      <x:c r="D124" s="12" t="str">
        <x:v>股权转让</x:v>
      </x:c>
      <x:c r="E124" s="12" t="n">
        <x:v>33</x:v>
      </x:c>
      <x:c r="F124" s="12" t="str">
        <x:v>股份转让</x:v>
      </x:c>
      <x:c r="G124" s="12" t="str">
        <x:v>2018 年 7 月 31 日</x:v>
      </x:c>
      <x:c r="H124" s="12" t="str"/>
      <x:c r="I124" s="12" t="str"/>
      <x:c r="J124" s="12" t="str"/>
      <x:c r="K124" s="12" t="str">
        <x:v>低</x:v>
      </x:c>
      <x:c r="L124" s="12" t="str">
        <x:v>排除为转让系统语境</x:v>
      </x:c>
      <x:c r="M124" s="12" t="str">
        <x:v>目，经相关 部门批准后方可开展经营活动） 主营业务 为石油化工企业提供基于化工工艺包技术的成 套技术综合解决方案。 主要产品与服务项目 化工工艺包、化工设备和催化剂 二、 发行人挂牌期间的基本情况 （一） 挂牌时间 2018 年 7 月 31 日 （二） 挂牌地点 全国中小企业股份转让系统</x:v>
      </x:c>
    </x:row>
    <x:row r="125" ht="38" customHeight="1">
      <x:c r="A125" s="12" t="str">
        <x:v>W13-920099-010</x:v>
      </x:c>
      <x:c r="B125" s="12" t="str">
        <x:v>920099</x:v>
      </x:c>
      <x:c r="C125" s="12" t="str">
        <x:v>瑞华技术</x:v>
      </x:c>
      <x:c r="D125" s="12" t="str">
        <x:v>股权转让</x:v>
      </x:c>
      <x:c r="E125" s="12" t="n">
        <x:v>72</x:v>
      </x:c>
      <x:c r="F125" s="12" t="str">
        <x:v>转让给</x:v>
      </x:c>
      <x:c r="G125" s="12" t="str"/>
      <x:c r="H125" s="12" t="str"/>
      <x:c r="I125" s="12" t="str"/>
      <x:c r="J125" s="12" t="str"/>
      <x:c r="K125" s="12" t="str">
        <x:v>低</x:v>
      </x:c>
      <x:c r="L125" s="12" t="str">
        <x:v>保留为Auto候选</x:v>
      </x:c>
      <x:c r="M125" s="12" t="str">
        <x:v>1-1-71 能构成竞争的业务； （2）将相竞争的业务纳入到发行人来经营； （3）将相竞争 的业务转让给无关联的第三方； 4、本人如从任何第三方获得的商业机会与发行人及其子公司经营的业务 有竞争或可能竞争， 本人将立即通知发行人， 并将该商业机会让予发行人或其 子公司； 5、 本人承诺不利用任何方式从事影响或可能影响发行人及其子公司经营、 发展的业务或...</x:v>
      </x:c>
    </x:row>
    <x:row r="126" ht="38" customHeight="1">
      <x:c r="A126" s="12" t="str">
        <x:v>W13-920099-011</x:v>
      </x:c>
      <x:c r="B126" s="12" t="str">
        <x:v>920099</x:v>
      </x:c>
      <x:c r="C126" s="12" t="str">
        <x:v>瑞华技术</x:v>
      </x:c>
      <x:c r="D126" s="12" t="str">
        <x:v>股权快照</x:v>
      </x:c>
      <x:c r="E126" s="12" t="n">
        <x:v>37</x:v>
      </x:c>
      <x:c r="F126" s="12" t="str">
        <x:v>持股数量</x:v>
      </x:c>
      <x:c r="G126" s="12" t="str"/>
      <x:c r="H126" s="12" t="str"/>
      <x:c r="I126" s="12" t="str"/>
      <x:c r="J126" s="12" t="str">
        <x:v>3.26%</x:v>
      </x:c>
      <x:c r="K126" s="12" t="str">
        <x:v>中</x:v>
      </x:c>
      <x:c r="L126" s="12" t="str">
        <x:v>保留为Auto候选</x:v>
      </x:c>
      <x:c r="M126" s="12" t="str">
        <x:v>东还 包括江苏毅达成果创新创业投资基金 （有限合伙） 、 江苏省现代服务业发展创 业投资基金（有限合伙）、江苏中小企业发展基金（有限合伙）3 家私募股权 投资基金，分别持有公司 3.26%股份，合计持有公司 9.78%股份。上述持有本 公司 5%以上股份的主要股东的基本情况如下： 序号 股东名称 持股数量 （万股） 持股比例 （%） 1 奚慧克 341...</x:v>
      </x:c>
    </x:row>
    <x:row r="127" ht="38" customHeight="1">
      <x:c r="A127" s="12" t="str">
        <x:v>W13-920099-012</x:v>
      </x:c>
      <x:c r="B127" s="12" t="str">
        <x:v>920099</x:v>
      </x:c>
      <x:c r="C127" s="12" t="str">
        <x:v>瑞华技术</x:v>
      </x:c>
      <x:c r="D127" s="12" t="str">
        <x:v>股权快照</x:v>
      </x:c>
      <x:c r="E127" s="12" t="n">
        <x:v>41</x:v>
      </x:c>
      <x:c r="F127" s="12" t="str">
        <x:v>股本结构</x:v>
      </x:c>
      <x:c r="G127" s="12" t="str"/>
      <x:c r="H127" s="12" t="str"/>
      <x:c r="I127" s="12" t="str">
        <x:v>40 股</x:v>
      </x:c>
      <x:c r="J127" s="12" t="str">
        <x:v>21.05%</x:v>
      </x:c>
      <x:c r="K127" s="12" t="str">
        <x:v>中</x:v>
      </x:c>
      <x:c r="L127" s="12" t="str">
        <x:v>保留为Auto候选</x:v>
      </x:c>
      <x:c r="M127" s="12" t="str">
        <x:v>1-1-40 股份的主要股东的股份不存在涉诉、质押、冻结或其他有争议的情况。 （四） 控股股东、实际控制人所控制的其他企业情况 截至本招股说明书签署日，除发行人及其子公司外，公司控股股东、实际 控制人徐志刚没有控制其他企业。 五、 发行人股本情况 （一） 本次发行前后的股本结构情况 本次发行前公司总股本为 5,999.9998 万股，本次拟公开发行不超...</x:v>
      </x:c>
    </x:row>
    <x:row r="128" ht="38" customHeight="1">
      <x:c r="A128" s="12" t="str">
        <x:v>W13-920099-013</x:v>
      </x:c>
      <x:c r="B128" s="12" t="str">
        <x:v>920099</x:v>
      </x:c>
      <x:c r="C128" s="12" t="str">
        <x:v>瑞华技术</x:v>
      </x:c>
      <x:c r="D128" s="12" t="str">
        <x:v>股权快照</x:v>
      </x:c>
      <x:c r="E128" s="12" t="n">
        <x:v>70</x:v>
      </x:c>
      <x:c r="F128" s="12" t="str">
        <x:v>持股比例</x:v>
      </x:c>
      <x:c r="G128" s="12" t="str"/>
      <x:c r="H128" s="12" t="str"/>
      <x:c r="I128" s="12" t="str"/>
      <x:c r="J128" s="12" t="str">
        <x:v>25.00%</x:v>
      </x:c>
      <x:c r="K128" s="12" t="str">
        <x:v>低</x:v>
      </x:c>
      <x:c r="L128" s="12" t="str">
        <x:v>保留为Auto候选</x:v>
      </x:c>
      <x:c r="M128" s="12" t="str">
        <x:v>众投资者道歉； 发行人有权将本人应该用于实施增持股票计划相等金额的 应付现金分红予以扣留或扣减； 本人持有的发行人股份将不得转让直至本人按 照承诺采取稳定股价措施并实施完毕时为止， 因继承、 被强制执行、 为履行保 护投资者利益承诺等必须转让股份的情形除外。’ 若公司本次公开发行股票后社会公众股东持股比例为 25.00%， 导致公司、 控股股东、 实际...</x:v>
      </x:c>
    </x:row>
    <x:row r="129" ht="38" customHeight="1">
      <x:c r="A129" s="12" t="str">
        <x:v>W13-920099-014</x:v>
      </x:c>
      <x:c r="B129" s="12" t="str">
        <x:v>920099</x:v>
      </x:c>
      <x:c r="C129" s="12" t="str">
        <x:v>瑞华技术</x:v>
      </x:c>
      <x:c r="D129" s="12" t="str">
        <x:v>股权快照</x:v>
      </x:c>
      <x:c r="E129" s="12" t="n">
        <x:v>77</x:v>
      </x:c>
      <x:c r="F129" s="12" t="str">
        <x:v>持股比例</x:v>
      </x:c>
      <x:c r="G129" s="12" t="str"/>
      <x:c r="H129" s="12" t="str"/>
      <x:c r="I129" s="12" t="str"/>
      <x:c r="J129" s="12" t="str"/>
      <x:c r="K129" s="12" t="str">
        <x:v>低</x:v>
      </x:c>
      <x:c r="L129" s="12" t="str">
        <x:v>保留为Auto候选</x:v>
      </x:c>
      <x:c r="M129" s="12" t="str">
        <x:v>补回报措施相关责任主体之一， 本人若违反上述承诺或拒不履行上 述承诺， 本人愿意按照中国证监会和北京证券交易所的有关规定承担相应的法 律责任。” 8、利润分配政策的承诺 （1）发行人承诺 “1、公司向不特定合格投资者公开发行股票并在北京证券交易所上市完 成前滚存的未分配利润由发行后新老股东按照持股比例共同享有，如因国家财 会政策调整而相应调整前述未分配...</x:v>
      </x:c>
    </x:row>
    <x:row r="130" ht="38" customHeight="1">
      <x:c r="A130" s="12" t="str">
        <x:v>W13-920099-015</x:v>
      </x:c>
      <x:c r="B130" s="12" t="str">
        <x:v>920099</x:v>
      </x:c>
      <x:c r="C130" s="12" t="str">
        <x:v>瑞华技术</x:v>
      </x:c>
      <x:c r="D130" s="12" t="str">
        <x:v>股权快照</x:v>
      </x:c>
      <x:c r="E130" s="12" t="n">
        <x:v>175</x:v>
      </x:c>
      <x:c r="F130" s="12" t="str">
        <x:v>持股比例</x:v>
      </x:c>
      <x:c r="G130" s="12" t="str"/>
      <x:c r="H130" s="12" t="str"/>
      <x:c r="I130" s="12" t="str"/>
      <x:c r="J130" s="12" t="str">
        <x:v>53.54%</x:v>
      </x:c>
      <x:c r="K130" s="12" t="str">
        <x:v>低</x:v>
      </x:c>
      <x:c r="L130" s="12" t="str">
        <x:v>保留为Auto候选</x:v>
      </x:c>
      <x:c r="M130" s="12" t="str">
        <x:v>解、 聚苯乙烯等大型工业化项目 亦有技术创新贡献，作为主 要发明人申请技术领域专利 10 余项， 为公司技术研发做 出重要贡献。 （2）核心技术人员持有发行人的股份情况、对外投资情况及兼职情况 截至本招股说明书签署日，公司核心技术人员持有公司股份情况如下： 序号 姓名 持股方式 持股数（股） 持股比例 1 徐志刚 直接持股 32,124,784 53....</x:v>
      </x:c>
    </x:row>
    <x:row r="131" ht="38" customHeight="1">
      <x:c r="A131" s="12" t="str">
        <x:v>W13-920099-016</x:v>
      </x:c>
      <x:c r="B131" s="12" t="str">
        <x:v>920099</x:v>
      </x:c>
      <x:c r="C131" s="12" t="str">
        <x:v>瑞华技术</x:v>
      </x:c>
      <x:c r="D131" s="12" t="str">
        <x:v>基金备案</x:v>
      </x:c>
      <x:c r="E131" s="12" t="n">
        <x:v>38</x:v>
      </x:c>
      <x:c r="F131" s="12" t="str">
        <x:v>基金备案</x:v>
      </x:c>
      <x:c r="G131" s="12" t="str">
        <x:v>2015 年 8 月 17 日</x:v>
      </x:c>
      <x:c r="H131" s="12" t="str"/>
      <x:c r="I131" s="12" t="str"/>
      <x:c r="J131" s="12" t="str">
        <x:v>2.57%</x:v>
      </x:c>
      <x:c r="K131" s="12" t="str">
        <x:v>中</x:v>
      </x:c>
      <x:c r="L131" s="12" t="str">
        <x:v>保留为Auto候选</x:v>
      </x:c>
      <x:c r="M131" s="12" t="str">
        <x:v>2,573.03 2.57% 11 符冠华 有限合伙人 2,573.03 2.57% 12 谷俊 有限合伙人 2,573.03 2.57% 13 林敏 有限合伙人 2,573.03 2.57% 小计 77,272.44 77.27% 合计 100,000.00 100.00% 3）私募基金备案登记情况 毅达创投于 2015 年 8 月 17 日在中国证...</x:v>
      </x:c>
    </x:row>
    <x:row r="132" ht="38" customHeight="1">
      <x:c r="A132" s="12" t="str">
        <x:v>W13-920099-017</x:v>
      </x:c>
      <x:c r="B132" s="12" t="str">
        <x:v>920099</x:v>
      </x:c>
      <x:c r="C132" s="12" t="str">
        <x:v>瑞华技术</x:v>
      </x:c>
      <x:c r="D132" s="12" t="str">
        <x:v>基金备案</x:v>
      </x:c>
      <x:c r="E132" s="12" t="n">
        <x:v>40</x:v>
      </x:c>
      <x:c r="F132" s="12" t="str">
        <x:v>基金备案</x:v>
      </x:c>
      <x:c r="G132" s="12" t="str">
        <x:v>2016 年 12 月 19 日</x:v>
      </x:c>
      <x:c r="H132" s="12" t="str"/>
      <x:c r="I132" s="12" t="str"/>
      <x:c r="J132" s="12" t="str">
        <x:v>24.44%</x:v>
      </x:c>
      <x:c r="K132" s="12" t="str">
        <x:v>中</x:v>
      </x:c>
      <x:c r="L132" s="12" t="str">
        <x:v>保留为Auto候选</x:v>
      </x:c>
      <x:c r="M132" s="12" t="str">
        <x:v>% 3 国家中小企业发展基金有限公司 有限合伙人 110,000.00 24.44% 4 江苏省政府投资基金（有限合伙） 有限合伙人 67,500.00 15.00% 5 太平财产保险有限公司 有限合伙人 24,000.00 5.33% 合计 450,000.00 100.00% 3）私募基金备案登记情况 中小企业基金于 2016 年 12 月 19 ...</x:v>
      </x:c>
    </x:row>
    <x:row r="133" ht="38" customHeight="1">
      <x:c r="A133" s="12" t="str">
        <x:v>W13-920099-018</x:v>
      </x:c>
      <x:c r="B133" s="12" t="str">
        <x:v>920099</x:v>
      </x:c>
      <x:c r="C133" s="12" t="str">
        <x:v>瑞华技术</x:v>
      </x:c>
      <x:c r="D133" s="12" t="str">
        <x:v>基金备案</x:v>
      </x:c>
      <x:c r="E133" s="12" t="n">
        <x:v>39</x:v>
      </x:c>
      <x:c r="F133" s="12" t="str">
        <x:v>基金备案</x:v>
      </x:c>
      <x:c r="G133" s="12" t="str">
        <x:v>2015 年 7 月 9 日</x:v>
      </x:c>
      <x:c r="H133" s="12" t="str"/>
      <x:c r="I133" s="12" t="str"/>
      <x:c r="J133" s="12" t="str">
        <x:v>1.89%</x:v>
      </x:c>
      <x:c r="K133" s="12" t="str">
        <x:v>中</x:v>
      </x:c>
      <x:c r="L133" s="12" t="str">
        <x:v>保留为Auto候选</x:v>
      </x:c>
      <x:c r="M133" s="12" t="str">
        <x:v>000.00 1.89% 11 姜红辉 有限合伙人 3,000.00 1.89% 12 蒋万建 有限合伙人 3,000.00 1.89% 13 朱鹏飞 有限合伙人 3,000.00 1.89% 小计 112,125.00 70.74% 合计 158,500.00 100.00% 3）私募基金备案登记情况 现代创投于 2015 年 7 月 9 日在中国证...</x:v>
      </x:c>
    </x:row>
    <x:row r="134" ht="38" customHeight="1">
      <x:c r="A134" s="12" t="str">
        <x:v>W13-920099-019</x:v>
      </x:c>
      <x:c r="B134" s="12" t="str">
        <x:v>920099</x:v>
      </x:c>
      <x:c r="C134" s="12" t="str">
        <x:v>瑞华技术</x:v>
      </x:c>
      <x:c r="D134" s="12" t="str">
        <x:v>特殊投资条款</x:v>
      </x:c>
      <x:c r="E134" s="12" t="n">
        <x:v>44</x:v>
      </x:c>
      <x:c r="F134" s="12" t="str">
        <x:v>对赌</x:v>
      </x:c>
      <x:c r="G134" s="12" t="str">
        <x:v>2022 年 7 月 4 日</x:v>
      </x:c>
      <x:c r="H134" s="12" t="str"/>
      <x:c r="I134" s="12" t="str"/>
      <x:c r="J134" s="12" t="str"/>
      <x:c r="K134" s="12" t="str">
        <x:v>中</x:v>
      </x:c>
      <x:c r="L134" s="12" t="str">
        <x:v>保留为Auto候选</x:v>
      </x:c>
      <x:c r="M134" s="12" t="str">
        <x:v>购要求的，甲方应当在乙方书面通知发 出之日起 30 日内按照相关交易场所交易规则的规定，将上述股权转让价款通 过场内或场外支付至乙方指定账户。 乙方应同时依相关交易场所交易规则规定 配合办理股权转让的变更手续。” 2022 年 7 月 4 日、2023 年 1 月 5 日再次签署的补充协议分别是把对赌时 点（申报 IPO 审核材料并获得受理）修改为 2...</x:v>
      </x:c>
    </x:row>
    <x:row r="135" ht="38" customHeight="1">
      <x:c r="A135" s="12" t="str">
        <x:v>W13-920099-020</x:v>
      </x:c>
      <x:c r="B135" s="12" t="str">
        <x:v>920099</x:v>
      </x:c>
      <x:c r="C135" s="12" t="str">
        <x:v>瑞华技术</x:v>
      </x:c>
      <x:c r="D135" s="12" t="str">
        <x:v>特殊投资条款</x:v>
      </x:c>
      <x:c r="E135" s="12" t="n">
        <x:v>42</x:v>
      </x:c>
      <x:c r="F135" s="12" t="str">
        <x:v>对赌</x:v>
      </x:c>
      <x:c r="G135" s="12" t="str">
        <x:v>2021 年 2 月</x:v>
      </x:c>
      <x:c r="H135" s="12" t="str">
        <x:v>11.93 元</x:v>
      </x:c>
      <x:c r="I135" s="12" t="str">
        <x:v>1,676,445 股</x:v>
      </x:c>
      <x:c r="J135" s="12" t="str">
        <x:v>2.79%</x:v>
      </x:c>
      <x:c r="K135" s="12" t="str">
        <x:v>高</x:v>
      </x:c>
      <x:c r="L135" s="12" t="str">
        <x:v>保留为Auto候选</x:v>
      </x:c>
      <x:c r="M135" s="12" t="str">
        <x:v>系描述 1 毅达创投、现代创投、 中小企业基金 毅达创投、 中小企业基金的基金管理人为江苏毅达， 现 代创投的基金管理人为南京毅达，该等基金管理人由 南京毅达资本管理企业（有限合伙）的合伙人应文禄、 周春芳、尤劲柏、史云中、樊利平、黄韬实际控制 （四） 其他披露事项 1、实际控制人签订的对赌协议情况 2021 年 2 月，中信建投投资以 11.93 元...</x:v>
      </x:c>
    </x:row>
    <x:row r="136" ht="38" customHeight="1">
      <x:c r="A136" s="12" t="str">
        <x:v>W13-920099-021</x:v>
      </x:c>
      <x:c r="B136" s="12" t="str">
        <x:v>920099</x:v>
      </x:c>
      <x:c r="C136" s="12" t="str">
        <x:v>瑞华技术</x:v>
      </x:c>
      <x:c r="D136" s="12" t="str">
        <x:v>特殊投资条款</x:v>
      </x:c>
      <x:c r="E136" s="12" t="n">
        <x:v>45</x:v>
      </x:c>
      <x:c r="F136" s="12" t="str">
        <x:v>对赌</x:v>
      </x:c>
      <x:c r="G136" s="12" t="str">
        <x:v>2014 年 2 月 27 日</x:v>
      </x:c>
      <x:c r="H136" s="12" t="str">
        <x:v>100,000,000.00 元</x:v>
      </x:c>
      <x:c r="I136" s="12" t="str"/>
      <x:c r="J136" s="12" t="str">
        <x:v>100.00%</x:v>
      </x:c>
      <x:c r="K136" s="12" t="str">
        <x:v>中</x:v>
      </x:c>
      <x:c r="L136" s="12" t="str">
        <x:v>保留为Auto候选</x:v>
      </x:c>
      <x:c r="M136" s="12" t="str">
        <x:v>1-1-44 对赌协议的安排。 六、 股权激励等可能导致发行人股权结构变化的事项 报告期内，公司不存在股权激励等可能导致发行人股权结构变化的事项。 七、 发行人的分公司、控股子公司、参股公司情况 （一） 控股子公司情况 √适用 □不适用 1. 常州瑞凯化工装备有限公司 子公司名称 常州瑞凯化工装备有限公司 成立时间 2014 年 2 月 27 日 注册...</x:v>
      </x:c>
    </x:row>
    <x:row r="137" ht="38" customHeight="1">
      <x:c r="A137" s="12" t="str">
        <x:v>W13-920118-001</x:v>
      </x:c>
      <x:c r="B137" s="12" t="str">
        <x:v>920118</x:v>
      </x:c>
      <x:c r="C137" s="12" t="str">
        <x:v>太湖远大</x:v>
      </x:c>
      <x:c r="D137" s="12" t="str">
        <x:v>增资认缴</x:v>
      </x:c>
      <x:c r="E137" s="12" t="n">
        <x:v>42</x:v>
      </x:c>
      <x:c r="F137" s="12" t="str">
        <x:v>增资</x:v>
      </x:c>
      <x:c r="G137" s="12" t="str">
        <x:v>2022 年 4 月 20 日</x:v>
      </x:c>
      <x:c r="H137" s="12" t="str"/>
      <x:c r="I137" s="12" t="str"/>
      <x:c r="J137" s="12" t="str"/>
      <x:c r="K137" s="12" t="str">
        <x:v>中</x:v>
      </x:c>
      <x:c r="L137" s="12" t="str">
        <x:v>保留为Auto候选</x:v>
      </x:c>
      <x:c r="M137" s="12" t="str">
        <x:v>最低估值 2022 年 4 月 20 日，发行人、实 际控制人赵勇、俞丽琴、潘姝君 以及博创投资与凯路投资、成贤 投资、钱爱荣、俞华杰、徐琨、 于丽敏、 启诚慧投资、 惠畅投资、 冯越等 9 名股东（以下简称“外 部投资人” ） 签署了 《关于浙江太 湖远大新材料股份有限公司股权 转让补充协议 /增资补充协议之 终止协议》 （以下简称“ 《原终止 协议...</x:v>
      </x:c>
    </x:row>
    <x:row r="138" ht="38" customHeight="1">
      <x:c r="A138" s="12" t="str">
        <x:v>W13-920118-002</x:v>
      </x:c>
      <x:c r="B138" s="12" t="str">
        <x:v>920118</x:v>
      </x:c>
      <x:c r="C138" s="12" t="str">
        <x:v>太湖远大</x:v>
      </x:c>
      <x:c r="D138" s="12" t="str">
        <x:v>增资认缴</x:v>
      </x:c>
      <x:c r="E138" s="12" t="n">
        <x:v>34</x:v>
      </x:c>
      <x:c r="F138" s="12" t="str">
        <x:v>定向发行</x:v>
      </x:c>
      <x:c r="G138" s="12" t="str">
        <x:v>2022 年 12 月 24 日</x:v>
      </x:c>
      <x:c r="H138" s="12" t="str">
        <x:v>人民币 12.00 元</x:v>
      </x:c>
      <x:c r="I138" s="12" t="str">
        <x:v>1,976,400 股</x:v>
      </x:c>
      <x:c r="J138" s="12" t="str"/>
      <x:c r="K138" s="12" t="str">
        <x:v>中</x:v>
      </x:c>
      <x:c r="L138" s="12" t="str">
        <x:v>保留为Auto候选</x:v>
      </x:c>
      <x:c r="M138" s="12" t="str">
        <x:v>，公司的股票交易方式为集合竞价，公司自股票挂牌之日起，股票 交易方式未发生过变更。 （八） 报告期内发行融资情况 报告期内，公司共有 1 次股票发行，具体情况如下： 2022 年 12 月 24 日， 公司2022 年第四次临时股东大会审议通过 《关于&lt;浙江太湖远大新材料 股份有限公司股票定向发行说明书&gt;的议案》 ， 同意公司发行股票不超过1,976,...</x:v>
      </x:c>
    </x:row>
    <x:row r="139" ht="38" customHeight="1">
      <x:c r="A139" s="12" t="str">
        <x:v>W13-920118-003</x:v>
      </x:c>
      <x:c r="B139" s="12" t="str">
        <x:v>920118</x:v>
      </x:c>
      <x:c r="C139" s="12" t="str">
        <x:v>太湖远大</x:v>
      </x:c>
      <x:c r="D139" s="12" t="str">
        <x:v>增资认缴</x:v>
      </x:c>
      <x:c r="E139" s="12" t="n">
        <x:v>33</x:v>
      </x:c>
      <x:c r="F139" s="12" t="str">
        <x:v>定向发行</x:v>
      </x:c>
      <x:c r="G139" s="12" t="str"/>
      <x:c r="H139" s="12" t="str">
        <x:v>1,003.40 万元</x:v>
      </x:c>
      <x:c r="I139" s="12" t="str"/>
      <x:c r="J139" s="12" t="str"/>
      <x:c r="K139" s="12" t="str">
        <x:v>中</x:v>
      </x:c>
      <x:c r="L139" s="12" t="str">
        <x:v>保留为Auto候选</x:v>
      </x:c>
      <x:c r="M139" s="12" t="str">
        <x:v>11 月 17 日，全国股转系统挂牌公司管理一部出具了《关于对浙江太湖远大新材料股 份有限公司及相关责任主体采取口头警示的送达通知》，因公司前次募集资金中 1,003.40 万元变 更用于偿还银行贷款，该变更募集资金用途行为发生时未履行审议程序并及时披露，公司违反了 《全国中小企业股份转让系统股票定向发行规则》，公司董事长俞丽琴、董事会秘书兼财务负责 ...</x:v>
      </x:c>
    </x:row>
    <x:row r="140" ht="38" customHeight="1">
      <x:c r="A140" s="12" t="str">
        <x:v>W13-920118-004</x:v>
      </x:c>
      <x:c r="B140" s="12" t="str">
        <x:v>920118</x:v>
      </x:c>
      <x:c r="C140" s="12" t="str">
        <x:v>太湖远大</x:v>
      </x:c>
      <x:c r="D140" s="12" t="str">
        <x:v>增资认缴</x:v>
      </x:c>
      <x:c r="E140" s="12" t="n">
        <x:v>30</x:v>
      </x:c>
      <x:c r="F140" s="12" t="str">
        <x:v>认购</x:v>
      </x:c>
      <x:c r="G140" s="12" t="str"/>
      <x:c r="H140" s="12" t="str"/>
      <x:c r="I140" s="12" t="str"/>
      <x:c r="J140" s="12" t="str"/>
      <x:c r="K140" s="12" t="str">
        <x:v>低</x:v>
      </x:c>
      <x:c r="L140" s="12" t="str">
        <x:v>保留为Auto候选</x:v>
      </x:c>
      <x:c r="M140" s="12" t="str">
        <x:v>1-1-30 本次发行过程中出现认购数量不足、发行后公司市值未达到上市条件等情形，则将导致本次发行 失败。 （二）募投项目实施不及预期风险、新增产能消化风险和收益不及预期风险 本次募集资金投资项目“特种线缆用环保型高分子材料产业化扩建项目 ”拟新增 4 套生产 线，其中 500kV 及以下过氧化物可交联电缆料生产线设备 1 套，35kV 及以下过氧化物...</x:v>
      </x:c>
    </x:row>
    <x:row r="141" ht="38" customHeight="1">
      <x:c r="A141" s="12" t="str">
        <x:v>W13-920118-005</x:v>
      </x:c>
      <x:c r="B141" s="12" t="str">
        <x:v>920118</x:v>
      </x:c>
      <x:c r="C141" s="12" t="str">
        <x:v>太湖远大</x:v>
      </x:c>
      <x:c r="D141" s="12" t="str">
        <x:v>增资认缴</x:v>
      </x:c>
      <x:c r="E141" s="12" t="n">
        <x:v>89</x:v>
      </x:c>
      <x:c r="F141" s="12" t="str">
        <x:v>增资</x:v>
      </x:c>
      <x:c r="G141" s="12" t="str"/>
      <x:c r="H141" s="12" t="str"/>
      <x:c r="I141" s="12" t="str"/>
      <x:c r="J141" s="12" t="str"/>
      <x:c r="K141" s="12" t="str">
        <x:v>低</x:v>
      </x:c>
      <x:c r="L141" s="12" t="str">
        <x:v>保留为Auto候选</x:v>
      </x:c>
      <x:c r="M141" s="12" t="str">
        <x:v>》 全国人大 2021 年 优化国内能源结构，提高新能源的比重，建设智 慧电网和超远距离电力输送网。 3 《中国光电线缆及光器 件行业“十四五”发展 规划》 中国电子元件行 业协会光电线缆 及光器件分会 2021 年 “一带一路”“中国制造 2025”等政策带动绝缘 和护套材料市场需求增资；新基建、新能源、电 动汽车、核电装备等领域发展推动行业高端市场...</x:v>
      </x:c>
    </x:row>
    <x:row r="142" ht="38" customHeight="1">
      <x:c r="A142" s="12" t="str">
        <x:v>W13-920118-006</x:v>
      </x:c>
      <x:c r="B142" s="12" t="str">
        <x:v>920118</x:v>
      </x:c>
      <x:c r="C142" s="12" t="str">
        <x:v>太湖远大</x:v>
      </x:c>
      <x:c r="D142" s="12" t="str">
        <x:v>股权转让</x:v>
      </x:c>
      <x:c r="E142" s="12" t="n">
        <x:v>42</x:v>
      </x:c>
      <x:c r="F142" s="12" t="str">
        <x:v>股份回购</x:v>
      </x:c>
      <x:c r="G142" s="12" t="str">
        <x:v>2017 年 4 月</x:v>
      </x:c>
      <x:c r="H142" s="12" t="str"/>
      <x:c r="I142" s="12" t="str"/>
      <x:c r="J142" s="12" t="str"/>
      <x:c r="K142" s="12" t="str">
        <x:v>中</x:v>
      </x:c>
      <x:c r="L142" s="12" t="str">
        <x:v>保留为Auto候选</x:v>
      </x:c>
      <x:c r="M142" s="12" t="str">
        <x:v>公司、 赵勇、 俞 丽琴、潘姝君 2017 年 4 月 委派董事及监事、 资料提 供、后续增资及转让限 制、利润分红、业绩承诺 及补偿、赎回条款 成贤投资、钱 爱荣 公司、 赵勇、 俞 丽琴、潘姝君 2017 年 12 月 资料提供、 后续增资及转 让限制、利润分红、业绩 承诺及补偿、股份回购 凯路投资、成 贤投资、钱爱 荣、 俞华杰、 徐 琨、 于丽...</x:v>
      </x:c>
    </x:row>
    <x:row r="143" ht="38" customHeight="1">
      <x:c r="A143" s="12" t="str">
        <x:v>W13-920118-007</x:v>
      </x:c>
      <x:c r="B143" s="12" t="str">
        <x:v>920118</x:v>
      </x:c>
      <x:c r="C143" s="12" t="str">
        <x:v>太湖远大</x:v>
      </x:c>
      <x:c r="D143" s="12" t="str">
        <x:v>股权转让</x:v>
      </x:c>
      <x:c r="E143" s="12" t="n">
        <x:v>11</x:v>
      </x:c>
      <x:c r="F143" s="12" t="str">
        <x:v>股份转让</x:v>
      </x:c>
      <x:c r="G143" s="12" t="str"/>
      <x:c r="H143" s="12" t="str"/>
      <x:c r="I143" s="12" t="str"/>
      <x:c r="J143" s="12" t="str"/>
      <x:c r="K143" s="12" t="str">
        <x:v>低</x:v>
      </x:c>
      <x:c r="L143" s="12" t="str">
        <x:v>排除为转让系统语境</x:v>
      </x:c>
      <x:c r="M143" s="12" t="str">
        <x:v>有限合伙）、成贤一期（海南） 创业投资合伙企业（有限合伙），系太湖远大股东 本次公开发行、本次发行 指 发行人向不特定合格投资者公开发行股票 本次发行上市 指 发行人向不特定合格投资者公开发行股票并在北京证券交易所 上市 中国证监会 指 中国证券监督管理委员会 全国股转公司 指 全国中小企业股份转让系统有限责任公司 全国股转系统、新三板 指 全国中小企...</x:v>
      </x:c>
    </x:row>
    <x:row r="144" ht="38" customHeight="1">
      <x:c r="A144" s="12" t="str">
        <x:v>W13-920118-008</x:v>
      </x:c>
      <x:c r="B144" s="12" t="str">
        <x:v>920118</x:v>
      </x:c>
      <x:c r="C144" s="12" t="str">
        <x:v>太湖远大</x:v>
      </x:c>
      <x:c r="D144" s="12" t="str">
        <x:v>股权转让</x:v>
      </x:c>
      <x:c r="E144" s="12" t="n">
        <x:v>34</x:v>
      </x:c>
      <x:c r="F144" s="12" t="str">
        <x:v>股份转让</x:v>
      </x:c>
      <x:c r="G144" s="12" t="str">
        <x:v>2023 年 1 月 13 日</x:v>
      </x:c>
      <x:c r="H144" s="12" t="str">
        <x:v>人民币 12.00 元</x:v>
      </x:c>
      <x:c r="I144" s="12" t="str">
        <x:v>0 股</x:v>
      </x:c>
      <x:c r="J144" s="12" t="str"/>
      <x:c r="K144" s="12" t="str">
        <x:v>低</x:v>
      </x:c>
      <x:c r="L144" s="12" t="str">
        <x:v>排除为转让系统语境</x:v>
      </x:c>
      <x:c r="M144" s="12" t="str">
        <x:v>0 股 （含1,976,400 股），每股价格为人民币 12.00 元，募集资金不超过 23,716,800 元（含本数）。发行对象合计 67 名，其中公司董事、监事、高级管理人员 3 名，公司核心员工 52 名，合格投资者 12 名。 2023 年 1 月 13 日，本次定向发行取得全国中小企业股份转让系统有限责任公司出具的《关 于对浙江太湖远大新材...</x:v>
      </x:c>
    </x:row>
    <x:row r="145" ht="38" customHeight="1">
      <x:c r="A145" s="12" t="str">
        <x:v>W13-920118-009</x:v>
      </x:c>
      <x:c r="B145" s="12" t="str">
        <x:v>920118</x:v>
      </x:c>
      <x:c r="C145" s="12" t="str">
        <x:v>太湖远大</x:v>
      </x:c>
      <x:c r="D145" s="12" t="str">
        <x:v>股权转让</x:v>
      </x:c>
      <x:c r="E145" s="12" t="n">
        <x:v>43</x:v>
      </x:c>
      <x:c r="F145" s="12" t="str">
        <x:v>股份回购</x:v>
      </x:c>
      <x:c r="G145" s="12" t="str">
        <x:v>2022 年 4 月</x:v>
      </x:c>
      <x:c r="H145" s="12" t="str">
        <x:v>8,000,000 元</x:v>
      </x:c>
      <x:c r="I145" s="12" t="str"/>
      <x:c r="J145" s="12" t="str"/>
      <x:c r="K145" s="12" t="str">
        <x:v>高</x:v>
      </x:c>
      <x:c r="L145" s="12" t="str">
        <x:v>保留为Auto候选</x:v>
      </x:c>
      <x:c r="M145" s="12" t="str">
        <x:v>1-1-43 启诚慧投资 公司、 赵勇、 俞 丽琴、潘姝君、 博创投资 2022 年 4 月 股份回购条款 2024 年 1 月 23 日，太湖远大、 实际控制人赵勇、俞丽琴、潘姝 君以及博创投资与启诚慧投资签 署了 《终止协议》 ， 解除了 《原终 止协议》中关于股东之间股份回 购的约定，且不可恢复。 如上表所示，博创投资与凯路投资、成贤投资、钱爱荣...</x:v>
      </x:c>
    </x:row>
    <x:row r="146" ht="38" customHeight="1">
      <x:c r="A146" s="12" t="str">
        <x:v>W13-920118-010</x:v>
      </x:c>
      <x:c r="B146" s="12" t="str">
        <x:v>920118</x:v>
      </x:c>
      <x:c r="C146" s="12" t="str">
        <x:v>太湖远大</x:v>
      </x:c>
      <x:c r="D146" s="12" t="str">
        <x:v>股权转让</x:v>
      </x:c>
      <x:c r="E146" s="12" t="n">
        <x:v>33</x:v>
      </x:c>
      <x:c r="F146" s="12" t="str">
        <x:v>股份转让</x:v>
      </x:c>
      <x:c r="G146" s="12" t="str">
        <x:v>2023 年 11 月 17 日</x:v>
      </x:c>
      <x:c r="H146" s="12" t="str">
        <x:v>1,003.40 万元</x:v>
      </x:c>
      <x:c r="I146" s="12" t="str"/>
      <x:c r="J146" s="12" t="str"/>
      <x:c r="K146" s="12" t="str">
        <x:v>低</x:v>
      </x:c>
      <x:c r="L146" s="12" t="str">
        <x:v>排除为转让系统语境</x:v>
      </x:c>
      <x:c r="M146" s="12" t="str">
        <x:v>2023 年 11 月 17 日，全国股转系统挂牌公司管理一部出具了《关于对浙江太湖远大新材料股 份有限公司及相关责任主体采取口头警示的送达通知》，因公司前次募集资金中 1,003.40 万元变 更用于偿还银行贷款，该变更募集资金用途行为发生时未履行审议程序并及时披露，公司违反了 《全国中小企业股份转让系统股票定向发行规则》，公司董事长俞丽琴、董事会秘...</x:v>
      </x:c>
    </x:row>
    <x:row r="147" ht="38" customHeight="1">
      <x:c r="A147" s="12" t="str">
        <x:v>W13-920118-011</x:v>
      </x:c>
      <x:c r="B147" s="12" t="str">
        <x:v>920118</x:v>
      </x:c>
      <x:c r="C147" s="12" t="str">
        <x:v>太湖远大</x:v>
      </x:c>
      <x:c r="D147" s="12" t="str">
        <x:v>股权转让</x:v>
      </x:c>
      <x:c r="E147" s="12" t="n">
        <x:v>59</x:v>
      </x:c>
      <x:c r="F147" s="12" t="str">
        <x:v>大宗交易</x:v>
      </x:c>
      <x:c r="G147" s="12" t="str"/>
      <x:c r="H147" s="12" t="str"/>
      <x:c r="I147" s="12" t="str"/>
      <x:c r="J147" s="12" t="str"/>
      <x:c r="K147" s="12" t="str">
        <x:v>低</x:v>
      </x:c>
      <x:c r="L147" s="12" t="str">
        <x:v>保留为Auto候选</x:v>
      </x:c>
      <x:c r="M147" s="12" t="str">
        <x:v>际控制人承诺如下： “1、 在本人所持发行人股份的锁定期届满后， 如本人计划减持， 本人将严格遵守 《中华人民 共和国公司法》《中华人民共和国证券法》《北京证券交易所股票上市规则（试行）》等规范性 文件中关于股份减持的规定，具体方式如下： （1） 减持方式： 包括但不限于二级市场竞价交易方式、 大宗交易方式、 协议转让等监管机构 认可的方式； （2） ...</x:v>
      </x:c>
    </x:row>
    <x:row r="148" ht="38" customHeight="1">
      <x:c r="A148" s="12" t="str">
        <x:v>W13-920118-012</x:v>
      </x:c>
      <x:c r="B148" s="12" t="str">
        <x:v>920118</x:v>
      </x:c>
      <x:c r="C148" s="12" t="str">
        <x:v>太湖远大</x:v>
      </x:c>
      <x:c r="D148" s="12" t="str">
        <x:v>股权转让</x:v>
      </x:c>
      <x:c r="E148" s="12" t="n">
        <x:v>60</x:v>
      </x:c>
      <x:c r="F148" s="12" t="str">
        <x:v>大宗交易</x:v>
      </x:c>
      <x:c r="G148" s="12" t="str"/>
      <x:c r="H148" s="12" t="str"/>
      <x:c r="I148" s="12" t="str"/>
      <x:c r="J148" s="12" t="str"/>
      <x:c r="K148" s="12" t="str">
        <x:v>低</x:v>
      </x:c>
      <x:c r="L148" s="12" t="str">
        <x:v>保留为Auto候选</x:v>
      </x:c>
      <x:c r="M148" s="12" t="str">
        <x:v>司股东俞华杰、于丽敏承诺如下： “1、 在公司本次发行并上市后， 如本人计划减持， 本人将严格遵守 《中华人民共和国公司法》 《中华人民共和国证券法》《北京证券交易所股票上市规则（试行）》等规范性文件中关于股份 减持的规定，具体方式如下： （1） 减持方式： 包括但不限于二级市场竞价交易方式、 大宗交易方式、 协议转让等监管机构 认可的方式； （2） ...</x:v>
      </x:c>
    </x:row>
    <x:row r="149" ht="38" customHeight="1">
      <x:c r="A149" s="12" t="str">
        <x:v>W13-920118-013</x:v>
      </x:c>
      <x:c r="B149" s="12" t="str">
        <x:v>920118</x:v>
      </x:c>
      <x:c r="C149" s="12" t="str">
        <x:v>太湖远大</x:v>
      </x:c>
      <x:c r="D149" s="12" t="str">
        <x:v>股权转让</x:v>
      </x:c>
      <x:c r="E149" s="12" t="n">
        <x:v>61</x:v>
      </x:c>
      <x:c r="F149" s="12" t="str">
        <x:v>大宗交易</x:v>
      </x:c>
      <x:c r="G149" s="12" t="str"/>
      <x:c r="H149" s="12" t="str"/>
      <x:c r="I149" s="12" t="str"/>
      <x:c r="J149" s="12" t="str"/>
      <x:c r="K149" s="12" t="str">
        <x:v>低</x:v>
      </x:c>
      <x:c r="L149" s="12" t="str">
        <x:v>保留为Auto候选</x:v>
      </x:c>
      <x:c r="M149" s="12" t="str">
        <x:v>创投资、成贤投资承诺如下： “1、 在公司本次发行并上市后， 如本企业计划减持， 本企业将严格遵守 《中华人民共和国公 司法》《中华人民共和国证券法》《北京证券交易所股票上市规则（试行）》等规范性文件中关 于股份减持的规定，具体方式如下： （1） 减持方式： 包括但不限于二级市场竞价交易方式、 大宗交易方式、 协议转让等监管机构 认可的方式； （2） ...</x:v>
      </x:c>
    </x:row>
    <x:row r="150" ht="38" customHeight="1">
      <x:c r="A150" s="12" t="str">
        <x:v>W13-920118-014</x:v>
      </x:c>
      <x:c r="B150" s="12" t="str">
        <x:v>920118</x:v>
      </x:c>
      <x:c r="C150" s="12" t="str">
        <x:v>太湖远大</x:v>
      </x:c>
      <x:c r="D150" s="12" t="str">
        <x:v>股权快照</x:v>
      </x:c>
      <x:c r="E150" s="12" t="n">
        <x:v>37</x:v>
      </x:c>
      <x:c r="F150" s="12" t="str">
        <x:v>持股比例</x:v>
      </x:c>
      <x:c r="G150" s="12" t="str">
        <x:v>2017 年 1 月 24 日</x:v>
      </x:c>
      <x:c r="H150" s="12" t="str"/>
      <x:c r="I150" s="12" t="str">
        <x:v>3,333,600 股</x:v>
      </x:c>
      <x:c r="J150" s="12" t="str">
        <x:v>1.50%</x:v>
      </x:c>
      <x:c r="K150" s="12" t="str">
        <x:v>高</x:v>
      </x:c>
      <x:c r="L150" s="12" t="str">
        <x:v>保留为Auto候选</x:v>
      </x:c>
      <x:c r="M150" s="12" t="str">
        <x:v>1,000,000 1.50% 合计 66,500,000 66,500,000 100.00% 3、 于丽敏女士与成贤投资： 于丽敏和成贤投资实际控制人于国庆为兄妹关系， 故于丽敏与成 贤投资为一致行动人， 截至本招股说明书签署日， 于丽敏女士与成贤投资合计持有公司3,333,600 股，合计持股比例为 7.65%。 （1）于丽敏女士：中国国籍，无境...</x:v>
      </x:c>
    </x:row>
    <x:row r="151" ht="38" customHeight="1">
      <x:c r="A151" s="12" t="str">
        <x:v>W13-920118-015</x:v>
      </x:c>
      <x:c r="B151" s="12" t="str">
        <x:v>920118</x:v>
      </x:c>
      <x:c r="C151" s="12" t="str">
        <x:v>太湖远大</x:v>
      </x:c>
      <x:c r="D151" s="12" t="str">
        <x:v>股权快照</x:v>
      </x:c>
      <x:c r="E151" s="12" t="n">
        <x:v>38</x:v>
      </x:c>
      <x:c r="F151" s="12" t="str">
        <x:v>持股比例</x:v>
      </x:c>
      <x:c r="G151" s="12" t="str"/>
      <x:c r="H151" s="12" t="str"/>
      <x:c r="I151" s="12" t="str">
        <x:v>2,202,400 股</x:v>
      </x:c>
      <x:c r="J151" s="12" t="str">
        <x:v>100.00%</x:v>
      </x:c>
      <x:c r="K151" s="12" t="str">
        <x:v>中</x:v>
      </x:c>
      <x:c r="L151" s="12" t="str">
        <x:v>保留为Auto候选</x:v>
      </x:c>
      <x:c r="M151" s="12" t="str">
        <x:v>,000,000 112,000,000 100.00% 4、 博创投资及夏臣科： 夏臣科为博创投资执行事务合伙人， 同时夏臣科及其配偶合计持有博 创投资 34.10%的份额，故夏臣科与博创投资为一致行动人， 截至本招股说明书签署日，夏臣科先 生与博创投资合计持有公司 2,202,400 股，合计持股比例为 5.05%。 （1）夏臣科先生：中国国籍，无...</x:v>
      </x:c>
    </x:row>
    <x:row r="152" ht="38" customHeight="1">
      <x:c r="A152" s="12" t="str">
        <x:v>W13-920118-016</x:v>
      </x:c>
      <x:c r="B152" s="12" t="str">
        <x:v>920118</x:v>
      </x:c>
      <x:c r="C152" s="12" t="str">
        <x:v>太湖远大</x:v>
      </x:c>
      <x:c r="D152" s="12" t="str">
        <x:v>股权快照</x:v>
      </x:c>
      <x:c r="E152" s="12" t="n">
        <x:v>36</x:v>
      </x:c>
      <x:c r="F152" s="12" t="str">
        <x:v>持股比例</x:v>
      </x:c>
      <x:c r="G152" s="12" t="str">
        <x:v>2015 年 10 月 10 日</x:v>
      </x:c>
      <x:c r="H152" s="12" t="str"/>
      <x:c r="I152" s="12" t="str">
        <x:v>5,400,000 股</x:v>
      </x:c>
      <x:c r="J152" s="12" t="str">
        <x:v>5%</x:v>
      </x:c>
      <x:c r="K152" s="12" t="str">
        <x:v>高</x:v>
      </x:c>
      <x:c r="L152" s="12" t="str">
        <x:v>保留为Auto候选</x:v>
      </x:c>
      <x:c r="M152" s="12" t="str">
        <x:v>、俞丽琴及潘姝君外，公司其他持 有发行人 5%以上股份的股东为俞华杰、凯路投资、于丽敏及成贤投资、博创投资及夏臣科。 1、俞华杰先生：中国国籍，无境外永久居留权，身份证号码为 330222196806******，未在 公司任职。截至本招股说明书签署日，俞华杰直接持有公司 5,400,000 股，持股比例为 12.39%。 2、凯路投资 截至本招股说明...</x:v>
      </x:c>
    </x:row>
    <x:row r="153" ht="38" customHeight="1">
      <x:c r="A153" s="12" t="str">
        <x:v>W13-920118-017</x:v>
      </x:c>
      <x:c r="B153" s="12" t="str">
        <x:v>920118</x:v>
      </x:c>
      <x:c r="C153" s="12" t="str">
        <x:v>太湖远大</x:v>
      </x:c>
      <x:c r="D153" s="12" t="str">
        <x:v>股权快照</x:v>
      </x:c>
      <x:c r="E153" s="12" t="n">
        <x:v>5</x:v>
      </x:c>
      <x:c r="F153" s="12" t="str">
        <x:v>持股比例</x:v>
      </x:c>
      <x:c r="G153" s="12" t="str"/>
      <x:c r="H153" s="12" t="str">
        <x:v>8,594.89 元</x:v>
      </x:c>
      <x:c r="I153" s="12" t="str"/>
      <x:c r="J153" s="12" t="str"/>
      <x:c r="K153" s="12" t="str">
        <x:v>中</x:v>
      </x:c>
      <x:c r="L153" s="12" t="str">
        <x:v>保留为Auto候选</x:v>
      </x:c>
      <x:c r="M153" s="12" t="str">
        <x:v>人及 证券服务机构等作出的重要承诺以及未能履行承诺的约束措施，具体承诺事项详见本招股说明书 “第四节 发行人基本情况”之“九、重要承诺”相关内容。 三、本次发行前滚存未分配利润的分配安排 根据公司 2023 年第一次临时股东大会决议，公司公开发行股票前滚存的未分配利润由发行 完成后的新老股东按其持股比例共享。 四、特别风险提示 本公司提醒投资者认真阅读...</x:v>
      </x:c>
    </x:row>
    <x:row r="154" ht="38" customHeight="1">
      <x:c r="A154" s="12" t="str">
        <x:v>W13-920118-018</x:v>
      </x:c>
      <x:c r="B154" s="12" t="str">
        <x:v>920118</x:v>
      </x:c>
      <x:c r="C154" s="12" t="str">
        <x:v>太湖远大</x:v>
      </x:c>
      <x:c r="D154" s="12" t="str">
        <x:v>股权快照</x:v>
      </x:c>
      <x:c r="E154" s="12" t="n">
        <x:v>39</x:v>
      </x:c>
      <x:c r="F154" s="12" t="str">
        <x:v>持股比例</x:v>
      </x:c>
      <x:c r="G154" s="12" t="str">
        <x:v>2015 年 11 月 24 日</x:v>
      </x:c>
      <x:c r="H154" s="12" t="str"/>
      <x:c r="I154" s="12" t="str">
        <x:v>91,000 股</x:v>
      </x:c>
      <x:c r="J154" s="12" t="str">
        <x:v>0.21%</x:v>
      </x:c>
      <x:c r="K154" s="12" t="str">
        <x:v>高</x:v>
      </x:c>
      <x:c r="L154" s="12" t="str">
        <x:v>保留为Auto候选</x:v>
      </x:c>
      <x:c r="M154" s="12" t="str">
        <x:v>1-1-39 公司 91,000 股，持股比例为 0.21%。 （2）博创投资： 截至本招股说明书签署日，博创投资直接持有公司 2,111,400 股， 持股比例为4.84%， 其基本 情况如下： 名称 湖州博创投资管理中心（有限合伙） 成立时间 2015 年 11 月 24 日 类型 有限合伙企业 统一社会信用代码 91330522MA28C1YM2...</x:v>
      </x:c>
    </x:row>
    <x:row r="155" ht="38" customHeight="1">
      <x:c r="A155" s="12" t="str">
        <x:v>W13-920118-019</x:v>
      </x:c>
      <x:c r="B155" s="12" t="str">
        <x:v>920118</x:v>
      </x:c>
      <x:c r="C155" s="12" t="str">
        <x:v>太湖远大</x:v>
      </x:c>
      <x:c r="D155" s="12" t="str">
        <x:v>股权快照</x:v>
      </x:c>
      <x:c r="E155" s="12" t="n">
        <x:v>40</x:v>
      </x:c>
      <x:c r="F155" s="12" t="str">
        <x:v>股本结构</x:v>
      </x:c>
      <x:c r="G155" s="12" t="str">
        <x:v>2024 年 4 月 16 日</x:v>
      </x:c>
      <x:c r="H155" s="12" t="str"/>
      <x:c r="I155" s="12" t="str">
        <x:v>43,596,000 股</x:v>
      </x:c>
      <x:c r="J155" s="12" t="str">
        <x:v>22.51%</x:v>
      </x:c>
      <x:c r="K155" s="12" t="str">
        <x:v>中</x:v>
      </x:c>
      <x:c r="L155" s="12" t="str">
        <x:v>保留为Auto候选</x:v>
      </x:c>
      <x:c r="M155" s="12" t="str">
        <x:v>%以上股份或表决权的主 要股东直接或间接持有发行人的股份不存在涉诉、质押、冻结或其他有争议的情况。 （四） 控股股东、实际控制人所控制的其他企业情况 截至本招股说明书签署日，除发行人及其控股子公司外，控股股东、实际控制人未控制其他 企业。 五、 发行人股本情况 （一） 本次发行前后的股本结构情况 本次发行前公司股份总数为 43,596,000 股，本次...</x:v>
      </x:c>
    </x:row>
    <x:row r="156" ht="38" customHeight="1">
      <x:c r="A156" s="12" t="str">
        <x:v>W13-920118-020</x:v>
      </x:c>
      <x:c r="B156" s="12" t="str">
        <x:v>920118</x:v>
      </x:c>
      <x:c r="C156" s="12" t="str">
        <x:v>太湖远大</x:v>
      </x:c>
      <x:c r="D156" s="12" t="str">
        <x:v>股权快照</x:v>
      </x:c>
      <x:c r="E156" s="12" t="n">
        <x:v>41</x:v>
      </x:c>
      <x:c r="F156" s="12" t="str">
        <x:v>前十名股东</x:v>
      </x:c>
      <x:c r="G156" s="12" t="str"/>
      <x:c r="H156" s="12" t="str"/>
      <x:c r="I156" s="12" t="str"/>
      <x:c r="J156" s="12" t="str">
        <x:v>2.37%</x:v>
      </x:c>
      <x:c r="K156" s="12" t="str">
        <x:v>低</x:v>
      </x:c>
      <x:c r="L156" s="12" t="str">
        <x:v>保留为Auto候选</x:v>
      </x:c>
      <x:c r="M156" s="12" t="str">
        <x:v>8,700 2.37% 11 现有其他股东 6,653,700 15.26% 6,653,700 13.07% 12 拟发行社会公众股东 - - 7,300,000 14.34% 合计 43,596,000 100.00% 50,896,000 100.00% （二） 本次发行前公司前十名股东情况 序号 股东姓名/名称 担任职务 持股数量（万 股） 限...</x:v>
      </x:c>
    </x:row>
    <x:row r="157" ht="38" customHeight="1">
      <x:c r="A157" s="12" t="str">
        <x:v>W13-920118-021</x:v>
      </x:c>
      <x:c r="B157" s="12" t="str">
        <x:v>920118</x:v>
      </x:c>
      <x:c r="C157" s="12" t="str">
        <x:v>太湖远大</x:v>
      </x:c>
      <x:c r="D157" s="12" t="str">
        <x:v>股权快照</x:v>
      </x:c>
      <x:c r="E157" s="12" t="n">
        <x:v>178</x:v>
      </x:c>
      <x:c r="F157" s="12" t="str">
        <x:v>持股比例</x:v>
      </x:c>
      <x:c r="G157" s="12" t="str">
        <x:v>2019 年 11 月 1 日</x:v>
      </x:c>
      <x:c r="H157" s="12" t="str"/>
      <x:c r="I157" s="12" t="str"/>
      <x:c r="J157" s="12" t="str">
        <x:v>100%</x:v>
      </x:c>
      <x:c r="K157" s="12" t="str">
        <x:v>中</x:v>
      </x:c>
      <x:c r="L157" s="12" t="str">
        <x:v>保留为Auto候选</x:v>
      </x:c>
      <x:c r="M157" s="12" t="str">
        <x:v>1-1-178 序 号 子公司名称 注册资本 （万元） 持股比例 业务性质 取得方式 取得日期 1 湖州远大复合材 料有限责任公司 800.00 100% 制造业 投资设立 2019 年 11 月 1 日 报告期内，公司合并财务报表范围未发生变化。 四、 会计政策、估计 （一） 会计政策和会计估计 具体会计政策和会计估计提示： √适用 □不适用 披露内...</x:v>
      </x:c>
    </x:row>
    <x:row r="158" ht="38" customHeight="1">
      <x:c r="A158" s="12" t="str">
        <x:v>W13-920118-022</x:v>
      </x:c>
      <x:c r="B158" s="12" t="str">
        <x:v>920118</x:v>
      </x:c>
      <x:c r="C158" s="12" t="str">
        <x:v>太湖远大</x:v>
      </x:c>
      <x:c r="D158" s="12" t="str">
        <x:v>基金备案</x:v>
      </x:c>
      <x:c r="E158" s="12" t="n">
        <x:v>37</x:v>
      </x:c>
      <x:c r="F158" s="12" t="str">
        <x:v>基金业协会</x:v>
      </x:c>
      <x:c r="G158" s="12" t="str"/>
      <x:c r="H158" s="12" t="str"/>
      <x:c r="I158" s="12" t="str">
        <x:v>3,333,600 股</x:v>
      </x:c>
      <x:c r="J158" s="12" t="str">
        <x:v>60.15%</x:v>
      </x:c>
      <x:c r="K158" s="12" t="str">
        <x:v>中</x:v>
      </x:c>
      <x:c r="L158" s="12" t="str">
        <x:v>保留为Auto候选</x:v>
      </x:c>
      <x:c r="M158" s="12" t="str">
        <x:v>1-1-37 理等活动（须在中国证券投资基金业协会完成登记备案 后方可从事经营活动） 截至本招股说明书签署日，凯路投资股权结构如下： 序号 股东（出资人） 认缴资本 （元） 实缴资本 （元） 持股（出资） 比例 1 杨锡久 40,000,000 40,000,000 60.15% 2 刘啸 12,000,000 12,000,000 18.05% 3 ...</x:v>
      </x:c>
    </x:row>
    <x:row r="159" ht="38" customHeight="1">
      <x:c r="A159" s="12" t="str">
        <x:v>W13-920118-023</x:v>
      </x:c>
      <x:c r="B159" s="12" t="str">
        <x:v>920118</x:v>
      </x:c>
      <x:c r="C159" s="12" t="str">
        <x:v>太湖远大</x:v>
      </x:c>
      <x:c r="D159" s="12" t="str">
        <x:v>特殊投资条款</x:v>
      </x:c>
      <x:c r="E159" s="12" t="n">
        <x:v>42</x:v>
      </x:c>
      <x:c r="F159" s="12" t="str">
        <x:v>特殊投资条款</x:v>
      </x:c>
      <x:c r="G159" s="12" t="str">
        <x:v>2015 年 11 月</x:v>
      </x:c>
      <x:c r="H159" s="12" t="str"/>
      <x:c r="I159" s="12" t="str"/>
      <x:c r="J159" s="12" t="str"/>
      <x:c r="K159" s="12" t="str">
        <x:v>中</x:v>
      </x:c>
      <x:c r="L159" s="12" t="str">
        <x:v>保留为Auto候选</x:v>
      </x:c>
      <x:c r="M159" s="12" t="str">
        <x:v>股说明书签署日，公司无其他披露事项。 六、 股权激励等可能导致发行人股权结构变化的事项 （一）公司本次公开发行申报前已经制定或实施的股权激励及相关安排情况 截至本招股说明书签署日，发行人不存在可能导致股权结构变化的已经制定或实施的股权激 励及相关安排等可能导致股权结构变化的事项。 （二）特殊投资条款协议及相关事项 发行人控股股东、实际控制人与投资者签署...</x:v>
      </x:c>
    </x:row>
    <x:row r="160" ht="38" customHeight="1">
      <x:c r="A160" s="12" t="str">
        <x:v>W13-920118-024</x:v>
      </x:c>
      <x:c r="B160" s="12" t="str">
        <x:v>920118</x:v>
      </x:c>
      <x:c r="C160" s="12" t="str">
        <x:v>太湖远大</x:v>
      </x:c>
      <x:c r="D160" s="12" t="str">
        <x:v>特殊投资条款</x:v>
      </x:c>
      <x:c r="E160" s="12" t="n">
        <x:v>43</x:v>
      </x:c>
      <x:c r="F160" s="12" t="str">
        <x:v>特殊投资条款</x:v>
      </x:c>
      <x:c r="G160" s="12" t="str">
        <x:v>2022 年 8 月</x:v>
      </x:c>
      <x:c r="H160" s="12" t="str">
        <x:v>8,000,000 元</x:v>
      </x:c>
      <x:c r="I160" s="12" t="str"/>
      <x:c r="J160" s="12" t="str">
        <x:v>100%</x:v>
      </x:c>
      <x:c r="K160" s="12" t="str">
        <x:v>中</x:v>
      </x:c>
      <x:c r="L160" s="12" t="str">
        <x:v>保留为Auto候选</x:v>
      </x:c>
      <x:c r="M160" s="12" t="str">
        <x:v>外部投资人均于 2022 年 8 月与公司实际控制人赵勇、俞丽琴、潘姝君终止了关于股 份回购的特殊权利约定，且不可恢复。启诚慧投资于 2024 年 1 月与公司实际控制人赵勇、俞丽 琴、潘姝君终止了关于股份回购的特殊权利约定，且不可恢复。 截至本招股说明书签署之日，公司、公司实际控制人与股东之间的特殊投资条款已全部彻底 终止且自始无效。 七、 发行人的...</x:v>
      </x:c>
    </x:row>
    <x:row r="161" ht="38" customHeight="1">
      <x:c r="A161" s="12" t="str">
        <x:v>W13-920249-001</x:v>
      </x:c>
      <x:c r="B161" s="12" t="str">
        <x:v>920249</x:v>
      </x:c>
      <x:c r="C161" s="12" t="str">
        <x:v>利尔达</x:v>
      </x:c>
      <x:c r="D161" s="12" t="str">
        <x:v>增资认缴</x:v>
      </x:c>
      <x:c r="E161" s="12" t="n">
        <x:v>85</x:v>
      </x:c>
      <x:c r="F161" s="12" t="str">
        <x:v>定向发行</x:v>
      </x:c>
      <x:c r="G161" s="12" t="str">
        <x:v>2021 年 7 月 8 日</x:v>
      </x:c>
      <x:c r="H161" s="12" t="str">
        <x:v>3,837 万元</x:v>
      </x:c>
      <x:c r="I161" s="12" t="str">
        <x:v>3,949万股</x:v>
      </x:c>
      <x:c r="J161" s="12" t="str"/>
      <x:c r="K161" s="12" t="str">
        <x:v>中</x:v>
      </x:c>
      <x:c r="L161" s="12" t="str">
        <x:v>保留为Auto候选</x:v>
      </x:c>
      <x:c r="M161" s="12" t="str">
        <x:v>前 述内部限售期内，参与员工持股计划的员工所持的相关权益转让退出的，在符合 员工持股计划约定的条件下， 可以将财产份额转让给员工持股计划内的其他员工 或经员工持股计划管理委员会认定的其他符合员工持股计划资格的员工。 2021 年 7 月 8 日，中国证监会印发《关于核准利尔达科技集团股份有限公 司定向发行股票的批复》（证监许可[2021]2322 号）...</x:v>
      </x:c>
    </x:row>
    <x:row r="162" ht="38" customHeight="1">
      <x:c r="A162" s="12" t="str">
        <x:v>W13-920249-002</x:v>
      </x:c>
      <x:c r="B162" s="12" t="str">
        <x:v>920249</x:v>
      </x:c>
      <x:c r="C162" s="12" t="str">
        <x:v>利尔达</x:v>
      </x:c>
      <x:c r="D162" s="12" t="str">
        <x:v>增资认缴</x:v>
      </x:c>
      <x:c r="E162" s="12" t="n">
        <x:v>60</x:v>
      </x:c>
      <x:c r="F162" s="12" t="str">
        <x:v>定向发行</x:v>
      </x:c>
      <x:c r="G162" s="12" t="str">
        <x:v>2021 年 7 月 8 日</x:v>
      </x:c>
      <x:c r="H162" s="12" t="str">
        <x:v>1.6 元</x:v>
      </x:c>
      <x:c r="I162" s="12" t="str">
        <x:v>3,949 万股</x:v>
      </x:c>
      <x:c r="J162" s="12" t="str"/>
      <x:c r="K162" s="12" t="str">
        <x:v>中</x:v>
      </x:c>
      <x:c r="L162" s="12" t="str">
        <x:v>保留为Auto候选</x:v>
      </x:c>
      <x:c r="M162" s="12" t="str">
        <x:v>1-1-59 开展员工持股计划设立的合伙企业（包括内部董事、监事、高级管理人员、公司 员工共计 236 人）预计发行股票不超过 3,949 万股，发行价格为 1.6 元/股。 2021 年 7 月 8 日，中国证监会印发《关于核准利尔达科技集团股份有限公 司定向发行股票的批复》（证监许可[2021]2322 号），核准公司定向发行不超过 3,949万股...</x:v>
      </x:c>
    </x:row>
    <x:row r="163" ht="38" customHeight="1">
      <x:c r="A163" s="12" t="str">
        <x:v>W13-920249-003</x:v>
      </x:c>
      <x:c r="B163" s="12" t="str">
        <x:v>920249</x:v>
      </x:c>
      <x:c r="C163" s="12" t="str">
        <x:v>利尔达</x:v>
      </x:c>
      <x:c r="D163" s="12" t="str">
        <x:v>增资认缴</x:v>
      </x:c>
      <x:c r="E163" s="12" t="n">
        <x:v>86</x:v>
      </x:c>
      <x:c r="F163" s="12" t="str">
        <x:v>认购</x:v>
      </x:c>
      <x:c r="G163" s="12" t="str">
        <x:v>2013 年 12 月 12 日</x:v>
      </x:c>
      <x:c r="H163" s="12" t="str"/>
      <x:c r="I163" s="12" t="str"/>
      <x:c r="J163" s="12" t="str"/>
      <x:c r="K163" s="12" t="str">
        <x:v>中</x:v>
      </x:c>
      <x:c r="L163" s="12" t="str">
        <x:v>保留为Auto候选</x:v>
      </x:c>
      <x:c r="M163" s="12" t="str">
        <x:v>1-1-85 2013 年 12 月 12 日，5 名外部投资人与公司、利尔达控股、实际控制人之一 陈凯签署了《关于利尔达科技集团股份有限公司之股份认购及增资协议》，其中 约定了对赌回购条款，主要内容为“5.1当出现以下任何情况时，投资方有权要求 目标公司和/或原大股东回购投资方所持有的全部公司股份； 5.1.1 不论任何主观或客观原因，目标公司不能在...</x:v>
      </x:c>
    </x:row>
    <x:row r="164" ht="38" customHeight="1">
      <x:c r="A164" s="12" t="str">
        <x:v>W13-920249-004</x:v>
      </x:c>
      <x:c r="B164" s="12" t="str">
        <x:v>920249</x:v>
      </x:c>
      <x:c r="C164" s="12" t="str">
        <x:v>利尔达</x:v>
      </x:c>
      <x:c r="D164" s="12" t="str">
        <x:v>增资认缴</x:v>
      </x:c>
      <x:c r="E164" s="12" t="n">
        <x:v>74</x:v>
      </x:c>
      <x:c r="F164" s="12" t="str">
        <x:v>认购</x:v>
      </x:c>
      <x:c r="G164" s="12" t="str">
        <x:v>2021 年 4 月 21 日</x:v>
      </x:c>
      <x:c r="H164" s="12" t="str"/>
      <x:c r="I164" s="12" t="str"/>
      <x:c r="J164" s="12" t="str">
        <x:v>30.89%</x:v>
      </x:c>
      <x:c r="K164" s="12" t="str">
        <x:v>中</x:v>
      </x:c>
      <x:c r="L164" s="12" t="str">
        <x:v>保留为Auto候选</x:v>
      </x:c>
      <x:c r="M164" s="12" t="str">
        <x:v>-3 室，合伙期限为 2021 年 4 月 21 日至 2041 年 4 月 20 日， 经营范围为“一般项目：企业管理；企业管理咨询；信息咨询服务（不含许可类 信息咨询服务）（除依法须经批准的项目外，凭营业执照依法自主开展经营活 动）”。 截至本招股说明书签署日，牛势冲冲的出资人及出资情况、对应认购公司股 份数等如下表所示： 序 号 姓名 用于认购发...</x:v>
      </x:c>
    </x:row>
    <x:row r="165" ht="38" customHeight="1">
      <x:c r="A165" s="12" t="str">
        <x:v>W13-920249-005</x:v>
      </x:c>
      <x:c r="B165" s="12" t="str">
        <x:v>920249</x:v>
      </x:c>
      <x:c r="C165" s="12" t="str">
        <x:v>利尔达</x:v>
      </x:c>
      <x:c r="D165" s="12" t="str">
        <x:v>增资认缴</x:v>
      </x:c>
      <x:c r="E165" s="12" t="n">
        <x:v>88</x:v>
      </x:c>
      <x:c r="F165" s="12" t="str">
        <x:v>增资</x:v>
      </x:c>
      <x:c r="G165" s="12" t="str">
        <x:v>2019 年 8 月</x:v>
      </x:c>
      <x:c r="H165" s="12" t="str"/>
      <x:c r="I165" s="12" t="str">
        <x:v>100 万股</x:v>
      </x:c>
      <x:c r="J165" s="12" t="str">
        <x:v>60%</x:v>
      </x:c>
      <x:c r="K165" s="12" t="str">
        <x:v>中</x:v>
      </x:c>
      <x:c r="L165" s="12" t="str">
        <x:v>保留为Auto候选</x:v>
      </x:c>
      <x:c r="M165" s="12" t="str">
        <x:v>1-1-87 魏春 全 增资取得 100 万股股 份经两次派发股票股 利，为 470万股 根据回购条款，利 尔达控股介绍孟国 庆 购买其持 有的 280万股股份， 剩余 190万股 根据回购条款，利尔 达控股介绍孙光辉购 买其持有的 190 万股 股份，至此其不再持 有发行人股份 未持股 如上表所示，2019 年 8 月至 9 月，利尔达控股及其介绍的...</x:v>
      </x:c>
    </x:row>
    <x:row r="166" ht="38" customHeight="1">
      <x:c r="A166" s="12" t="str">
        <x:v>W13-920249-006</x:v>
      </x:c>
      <x:c r="B166" s="12" t="str">
        <x:v>920249</x:v>
      </x:c>
      <x:c r="C166" s="12" t="str">
        <x:v>利尔达</x:v>
      </x:c>
      <x:c r="D166" s="12" t="str">
        <x:v>增资认缴</x:v>
      </x:c>
      <x:c r="E166" s="12" t="n">
        <x:v>84</x:v>
      </x:c>
      <x:c r="F166" s="12" t="str">
        <x:v>定向发行</x:v>
      </x:c>
      <x:c r="G166" s="12" t="str">
        <x:v>2021 年 5 月 20 日</x:v>
      </x:c>
      <x:c r="H166" s="12" t="str"/>
      <x:c r="I166" s="12" t="str"/>
      <x:c r="J166" s="12" t="str">
        <x:v>100.00%</x:v>
      </x:c>
      <x:c r="K166" s="12" t="str">
        <x:v>中</x:v>
      </x:c>
      <x:c r="L166" s="12" t="str">
        <x:v>保留为Auto候选</x:v>
      </x:c>
      <x:c r="M166" s="12" t="str">
        <x:v>1-1-83 合计 1,147.20 100.00% 717 -- 根据《利尔达科技集团股份有限公司 2021 年员工持股计划（草案）》《利 尔达科技集团股份有限公司股票定向发行说明书》 《利尔达科技集团股份有限公 司员工持股计划管理办法》的规定，上述持股平台系发行人为实施员工持股计划 而设立的有限合伙企业， 其执行事务合伙人应根据员工持股计划的方案和...</x:v>
      </x:c>
    </x:row>
    <x:row r="167" ht="38" customHeight="1">
      <x:c r="A167" s="12" t="str">
        <x:v>W13-920249-007</x:v>
      </x:c>
      <x:c r="B167" s="12" t="str">
        <x:v>920249</x:v>
      </x:c>
      <x:c r="C167" s="12" t="str">
        <x:v>利尔达</x:v>
      </x:c>
      <x:c r="D167" s="12" t="str">
        <x:v>增资认缴</x:v>
      </x:c>
      <x:c r="E167" s="12" t="n">
        <x:v>87</x:v>
      </x:c>
      <x:c r="F167" s="12" t="str">
        <x:v>增资</x:v>
      </x:c>
      <x:c r="G167" s="12" t="str"/>
      <x:c r="H167" s="12" t="str"/>
      <x:c r="I167" s="12" t="str">
        <x:v>100 万股</x:v>
      </x:c>
      <x:c r="J167" s="12" t="str"/>
      <x:c r="K167" s="12" t="str">
        <x:v>中</x:v>
      </x:c>
      <x:c r="L167" s="12" t="str">
        <x:v>保留为Auto候选</x:v>
      </x:c>
      <x:c r="M167" s="12" t="str">
        <x:v>东收购其持有的目标公司 股份。 三、投资方除作为目标公司的股东享有法律法规所规定的股东权利之外，与 原大股东及/或目标公司不存在任何其他权利义务。” 5 名外部投资人退出具体过程如下： 股东 2017/12 2019/8-2019/9 2020/3-2020/4 2021/12 田永 强 增资取得 100 万股股 份经两次派发股票股 利，以及个人在二级...</x:v>
      </x:c>
    </x:row>
    <x:row r="168" ht="38" customHeight="1">
      <x:c r="A168" s="12" t="str">
        <x:v>W13-920249-008</x:v>
      </x:c>
      <x:c r="B168" s="12" t="str">
        <x:v>920249</x:v>
      </x:c>
      <x:c r="C168" s="12" t="str">
        <x:v>利尔达</x:v>
      </x:c>
      <x:c r="D168" s="12" t="str">
        <x:v>增资认缴</x:v>
      </x:c>
      <x:c r="E168" s="12" t="n">
        <x:v>70</x:v>
      </x:c>
      <x:c r="F168" s="12" t="str">
        <x:v>定向发行</x:v>
      </x:c>
      <x:c r="G168" s="12" t="str">
        <x:v>2022 年 6 月 30日</x:v>
      </x:c>
      <x:c r="H168" s="12" t="str"/>
      <x:c r="I168" s="12" t="str">
        <x:v>39,886 万股</x:v>
      </x:c>
      <x:c r="J168" s="12" t="str"/>
      <x:c r="K168" s="12" t="str">
        <x:v>高</x:v>
      </x:c>
      <x:c r="L168" s="12" t="str">
        <x:v>保留为Auto候选</x:v>
      </x:c>
      <x:c r="M168" s="12" t="str">
        <x:v>1-1-69 实际控制人陈凯、 叶文光虽分别担任牛势冲冲、 气壮似牛的执行事务合伙人， 但根据公司《2021 年员工持股计划（草案）》《股票定向发行说明书》《员工 持股计划管理办法》的规定，牛势冲冲、气壮似牛系发行人为实施员工持股计划 而设立的有限合伙企业， 其执行事务合伙人应根据员工持股计划的方案和管理办 法，依照持股计划持有人会议及管理委员会的决议...</x:v>
      </x:c>
    </x:row>
    <x:row r="169" ht="38" customHeight="1">
      <x:c r="A169" s="12" t="str">
        <x:v>W13-920249-009</x:v>
      </x:c>
      <x:c r="B169" s="12" t="str">
        <x:v>920249</x:v>
      </x:c>
      <x:c r="C169" s="12" t="str">
        <x:v>利尔达</x:v>
      </x:c>
      <x:c r="D169" s="12" t="str">
        <x:v>股权转让</x:v>
      </x:c>
      <x:c r="E169" s="12" t="n">
        <x:v>85</x:v>
      </x:c>
      <x:c r="F169" s="12" t="str">
        <x:v>转让给</x:v>
      </x:c>
      <x:c r="G169" s="12" t="str">
        <x:v>2021 年 7 月 8 日</x:v>
      </x:c>
      <x:c r="H169" s="12" t="str">
        <x:v>3,837 万元</x:v>
      </x:c>
      <x:c r="I169" s="12" t="str">
        <x:v>5 万股</x:v>
      </x:c>
      <x:c r="J169" s="12" t="str"/>
      <x:c r="K169" s="12" t="str">
        <x:v>中</x:v>
      </x:c>
      <x:c r="L169" s="12" t="str">
        <x:v>保留为Auto候选</x:v>
      </x:c>
      <x:c r="M169" s="12" t="str">
        <x:v>的部分，内部限售期 为 4 年；b.员工间接持有的公司股票超过 5 万股的部分，内部限售期为 5 年。② 员工间接持有的公司股票数量为 5 万股以下的，内部限售期为 4 年。（4）在前 述内部限售期内，参与员工持股计划的员工所持的相关权益转让退出的，在符合 员工持股计划约定的条件下， 可以将财产份额转让给员工持股计划内的其他员工 或经员工持股计划管理委...</x:v>
      </x:c>
    </x:row>
    <x:row r="170" ht="38" customHeight="1">
      <x:c r="A170" s="12" t="str">
        <x:v>W13-920249-010</x:v>
      </x:c>
      <x:c r="B170" s="12" t="str">
        <x:v>920249</x:v>
      </x:c>
      <x:c r="C170" s="12" t="str">
        <x:v>利尔达</x:v>
      </x:c>
      <x:c r="D170" s="12" t="str">
        <x:v>股权转让</x:v>
      </x:c>
      <x:c r="E170" s="12" t="n">
        <x:v>86</x:v>
      </x:c>
      <x:c r="F170" s="12" t="str">
        <x:v>股份回购</x:v>
      </x:c>
      <x:c r="G170" s="12" t="str">
        <x:v>2019 年 8 月</x:v>
      </x:c>
      <x:c r="H170" s="12" t="str"/>
      <x:c r="I170" s="12" t="str"/>
      <x:c r="J170" s="12" t="str"/>
      <x:c r="K170" s="12" t="str">
        <x:v>中</x:v>
      </x:c>
      <x:c r="L170" s="12" t="str">
        <x:v>保留为Auto候选</x:v>
      </x:c>
      <x:c r="M170" s="12" t="str">
        <x:v>增资协议》签订如下补充协议，以兹共同遵守： 一、各方确认：自原《增资协议》签订至今，各方均严格遵守原《增资协议》 的内容，均不存在违约行为；各方在履行原《增资协议》的过程中不存在任何纠 纷或潜在纠纷，不存在影响目标公司股权清晰稳定的事项或情形。 二、经各方协商一致，解除原《增资协议》第 5 条‘股份回购及转让’中关于 要求目标公司参与特定情况回购的义务...</x:v>
      </x:c>
    </x:row>
    <x:row r="171" ht="38" customHeight="1">
      <x:c r="A171" s="12" t="str">
        <x:v>W13-920249-011</x:v>
      </x:c>
      <x:c r="B171" s="12" t="str">
        <x:v>920249</x:v>
      </x:c>
      <x:c r="C171" s="12" t="str">
        <x:v>利尔达</x:v>
      </x:c>
      <x:c r="D171" s="12" t="str">
        <x:v>股权转让</x:v>
      </x:c>
      <x:c r="E171" s="12" t="n">
        <x:v>74</x:v>
      </x:c>
      <x:c r="F171" s="12" t="str">
        <x:v>股权转让</x:v>
      </x:c>
      <x:c r="G171" s="12" t="str">
        <x:v>2021 年 4 月 21 日</x:v>
      </x:c>
      <x:c r="H171" s="12" t="str"/>
      <x:c r="I171" s="12" t="str">
        <x:v>874 万股</x:v>
      </x:c>
      <x:c r="J171" s="12" t="str">
        <x:v>50%</x:v>
      </x:c>
      <x:c r="K171" s="12" t="str">
        <x:v>中</x:v>
      </x:c>
      <x:c r="L171" s="12" t="str">
        <x:v>保留为Auto候选</x:v>
      </x:c>
      <x:c r="M171" s="12" t="str">
        <x:v>达 有限在浙江地区的销售负责人，且为残障人士，叶文光认为由陈建民控股的企业 在运营过程中可以依据残障人士优惠政策享受一定的税费优惠， 故安排陈建民代 其持有的利尔达有限 50%的股权。代持关系持续1 年后，利尔达有限并未实际享 受相应的税收优惠政策，故叶文光认为该股权代持关系无须继续存在，且其拟将 股权转让给陈贤兴，故通过前述转让过程与陈建民解除的股权...</x:v>
      </x:c>
    </x:row>
    <x:row r="172" ht="38" customHeight="1">
      <x:c r="A172" s="12" t="str">
        <x:v>W13-920249-012</x:v>
      </x:c>
      <x:c r="B172" s="12" t="str">
        <x:v>920249</x:v>
      </x:c>
      <x:c r="C172" s="12" t="str">
        <x:v>利尔达</x:v>
      </x:c>
      <x:c r="D172" s="12" t="str">
        <x:v>股权转让</x:v>
      </x:c>
      <x:c r="E172" s="12" t="n">
        <x:v>88</x:v>
      </x:c>
      <x:c r="F172" s="12" t="str">
        <x:v>受让</x:v>
      </x:c>
      <x:c r="G172" s="12" t="str">
        <x:v>2019 年 3 月</x:v>
      </x:c>
      <x:c r="H172" s="12" t="str"/>
      <x:c r="I172" s="12" t="str">
        <x:v>560万股</x:v>
      </x:c>
      <x:c r="J172" s="12" t="str">
        <x:v>60%</x:v>
      </x:c>
      <x:c r="K172" s="12" t="str">
        <x:v>中</x:v>
      </x:c>
      <x:c r="L172" s="12" t="str">
        <x:v>保留为Auto候选</x:v>
      </x:c>
      <x:c r="M172" s="12" t="str">
        <x:v>介绍的第三方回购上述5 名投资人所持有的部分发行人股份 （占5 名投资人当时各自持有发行人股份的约 60%）；2019 年 3 月至 4 月，利尔达控股及其介绍的第三方回购上述5 名投资人 所持有的剩余发行人股份 （田永强、 陈忠献和马利敏放弃该次要求回购的权利） ， 实际履行或经介绍履行回购义务的受让方为利尔达控股、孟国庆、孙光辉和成都 牛斗。 2、...</x:v>
      </x:c>
    </x:row>
    <x:row r="173" ht="38" customHeight="1">
      <x:c r="A173" s="12" t="str">
        <x:v>W13-920249-013</x:v>
      </x:c>
      <x:c r="B173" s="12" t="str">
        <x:v>920249</x:v>
      </x:c>
      <x:c r="C173" s="12" t="str">
        <x:v>利尔达</x:v>
      </x:c>
      <x:c r="D173" s="12" t="str">
        <x:v>股权转让</x:v>
      </x:c>
      <x:c r="E173" s="12" t="n">
        <x:v>73</x:v>
      </x:c>
      <x:c r="F173" s="12" t="str">
        <x:v>股权转让</x:v>
      </x:c>
      <x:c r="G173" s="12" t="str">
        <x:v>2003 年 7 月</x:v>
      </x:c>
      <x:c r="H173" s="12" t="str"/>
      <x:c r="I173" s="12" t="str"/>
      <x:c r="J173" s="12" t="str">
        <x:v>45%</x:v>
      </x:c>
      <x:c r="K173" s="12" t="str">
        <x:v>中</x:v>
      </x:c>
      <x:c r="L173" s="12" t="str">
        <x:v>保留为Auto候选</x:v>
      </x:c>
      <x:c r="M173" s="12" t="str">
        <x:v>1-1-72 2003 年 7 月，蒋建龙将所持公司 45%的股权转让给叶文光，孙克利将所持 公司 30%的股权转让给陈丽云，蒋忠权将所持公司 25%的股权转让给张缦。本 次股权转让实际为代持股权的还原，叶文光与蒋建龙、陈丽云与孙克利、张缦与 蒋忠权之间的股权代持关系得以解除。 ②股权代持行为的影响 根据对蒋建龙、蒋忠权、孙克利以及叶文光、张缦、陈丽云...</x:v>
      </x:c>
    </x:row>
    <x:row r="174" ht="38" customHeight="1">
      <x:c r="A174" s="12" t="str">
        <x:v>W13-920249-014</x:v>
      </x:c>
      <x:c r="B174" s="12" t="str">
        <x:v>920249</x:v>
      </x:c>
      <x:c r="C174" s="12" t="str">
        <x:v>利尔达</x:v>
      </x:c>
      <x:c r="D174" s="12" t="str">
        <x:v>股权转让</x:v>
      </x:c>
      <x:c r="E174" s="12" t="n">
        <x:v>134</x:v>
      </x:c>
      <x:c r="F174" s="12" t="str">
        <x:v>股权转让</x:v>
      </x:c>
      <x:c r="G174" s="12" t="str">
        <x:v>2022年 6月 13 日</x:v>
      </x:c>
      <x:c r="H174" s="12" t="str"/>
      <x:c r="I174" s="12" t="str"/>
      <x:c r="J174" s="12" t="str"/>
      <x:c r="K174" s="12" t="str">
        <x:v>中</x:v>
      </x:c>
      <x:c r="L174" s="12" t="str">
        <x:v>保留为Auto候选</x:v>
      </x:c>
      <x:c r="M174" s="12" t="str">
        <x:v>人的股东均 具备持有本公司股份的主体 资格，不存在法律法规禁止 持股的主体直接或间接持有 发行人股份的情形；4、本次 发行的中介机构或其负责 人、高级管理人员、经办人 员不存在直接或间接持有发 行人股份或其他权益的情 形；5、发行人股东不存在以 本发行人股权进行不当利益 输送的情形。 历史沿革中 股权转让曾 涉及代持情 形的股东 2022年 6月 13...</x:v>
      </x:c>
    </x:row>
    <x:row r="175" ht="38" customHeight="1">
      <x:c r="A175" s="12" t="str">
        <x:v>W13-920249-015</x:v>
      </x:c>
      <x:c r="B175" s="12" t="str">
        <x:v>920249</x:v>
      </x:c>
      <x:c r="C175" s="12" t="str">
        <x:v>利尔达</x:v>
      </x:c>
      <x:c r="D175" s="12" t="str">
        <x:v>股权转让</x:v>
      </x:c>
      <x:c r="E175" s="12" t="n">
        <x:v>59</x:v>
      </x:c>
      <x:c r="F175" s="12" t="str">
        <x:v>股份转让</x:v>
      </x:c>
      <x:c r="G175" s="12" t="str">
        <x:v>2015 年 2 月 12 日</x:v>
      </x:c>
      <x:c r="H175" s="12" t="str"/>
      <x:c r="I175" s="12" t="str"/>
      <x:c r="J175" s="12" t="str"/>
      <x:c r="K175" s="12" t="str">
        <x:v>中</x:v>
      </x:c>
      <x:c r="L175" s="12" t="str">
        <x:v>保留为Auto候选</x:v>
      </x:c>
      <x:c r="M175" s="12" t="str">
        <x:v>1-1-58 （一） 挂牌日期和目前所属层级 2015 年 2 月 12 日，全国股转公司出具《关于同意利尔达科技集团股份有限 公司股票在全国中小企业股份转让系统挂牌的函》（股转系统函[2015]549号）， 同意公司股票在全国中小企业股份转让系统挂牌公开转让。 2015 年 3 月 24 日，公司股票正式在全国股转系统挂牌并公开转让，证券代 码为 8...</x:v>
      </x:c>
    </x:row>
    <x:row r="176" ht="38" customHeight="1">
      <x:c r="A176" s="12" t="str">
        <x:v>W13-920249-016</x:v>
      </x:c>
      <x:c r="B176" s="12" t="str">
        <x:v>920249</x:v>
      </x:c>
      <x:c r="C176" s="12" t="str">
        <x:v>利尔达</x:v>
      </x:c>
      <x:c r="D176" s="12" t="str">
        <x:v>股权转让</x:v>
      </x:c>
      <x:c r="E176" s="12" t="n">
        <x:v>139</x:v>
      </x:c>
      <x:c r="F176" s="12" t="str">
        <x:v>股份转让</x:v>
      </x:c>
      <x:c r="G176" s="12" t="str">
        <x:v>2015 年 3 月 24 日</x:v>
      </x:c>
      <x:c r="H176" s="12" t="str"/>
      <x:c r="I176" s="12" t="str"/>
      <x:c r="J176" s="12" t="str"/>
      <x:c r="K176" s="12" t="str">
        <x:v>中</x:v>
      </x:c>
      <x:c r="L176" s="12" t="str">
        <x:v>保留为Auto候选</x:v>
      </x:c>
      <x:c r="M176" s="12" t="str">
        <x:v>际控制人 或控股股东 2015 年 3 月 24 日 - 同业竞争承诺 控股股东利尔达控 股集团， 实际控制人 及其一致行动人出 具了 《避免同业竞争 承诺函》。 实际控制人 或控股股东 2021 年 3 月 8 日 - 限售承诺 实际控制人或控股 股东及其亲属应当 按照 《全国中小企业 股份转让系统挂牌 公司股票限售及解 除限售业务指南》 相 关规定...</x:v>
      </x:c>
    </x:row>
    <x:row r="177" ht="38" customHeight="1">
      <x:c r="A177" s="12" t="str">
        <x:v>W13-920249-017</x:v>
      </x:c>
      <x:c r="B177" s="12" t="str">
        <x:v>920249</x:v>
      </x:c>
      <x:c r="C177" s="12" t="str">
        <x:v>利尔达</x:v>
      </x:c>
      <x:c r="D177" s="12" t="str">
        <x:v>股权快照</x:v>
      </x:c>
      <x:c r="E177" s="12" t="n">
        <x:v>85</x:v>
      </x:c>
      <x:c r="F177" s="12" t="str">
        <x:v>持股数量</x:v>
      </x:c>
      <x:c r="G177" s="12" t="str">
        <x:v>2021 年 7 月 8 日</x:v>
      </x:c>
      <x:c r="H177" s="12" t="str">
        <x:v>3,837 万元</x:v>
      </x:c>
      <x:c r="I177" s="12" t="str">
        <x:v>5 万股</x:v>
      </x:c>
      <x:c r="J177" s="12" t="str"/>
      <x:c r="K177" s="12" t="str">
        <x:v>中</x:v>
      </x:c>
      <x:c r="L177" s="12" t="str">
        <x:v>保留为Auto候选</x:v>
      </x:c>
      <x:c r="M177" s="12" t="str">
        <x:v>1-1-84 量而定）内部限售期届满之日起再行延长 24 个月。（3）员工间接持有的公司股 票的内部限售期根据其间接持股数量有所区分： ①员工间接持有的公司股票数量 为 5 万股及 5 万股以上的：a.员工间接持有的不超过 5 万股的部分，内部限售期 为 4 年；b.员工间接持有的公司股票超过 5 万股的部分，内部限售期为 5 年。② 员工间接持有的公...</x:v>
      </x:c>
    </x:row>
    <x:row r="178" ht="38" customHeight="1">
      <x:c r="A178" s="12" t="str">
        <x:v>W13-920249-018</x:v>
      </x:c>
      <x:c r="B178" s="12" t="str">
        <x:v>920249</x:v>
      </x:c>
      <x:c r="C178" s="12" t="str">
        <x:v>利尔达</x:v>
      </x:c>
      <x:c r="D178" s="12" t="str">
        <x:v>股权快照</x:v>
      </x:c>
      <x:c r="E178" s="12" t="n">
        <x:v>70</x:v>
      </x:c>
      <x:c r="F178" s="12" t="str">
        <x:v>股本结构</x:v>
      </x:c>
      <x:c r="G178" s="12" t="str">
        <x:v>2022 年 6 月 30日</x:v>
      </x:c>
      <x:c r="H178" s="12" t="str"/>
      <x:c r="I178" s="12" t="str">
        <x:v>39,886 万股</x:v>
      </x:c>
      <x:c r="J178" s="12" t="str"/>
      <x:c r="K178" s="12" t="str">
        <x:v>中</x:v>
      </x:c>
      <x:c r="L178" s="12" t="str">
        <x:v>保留为Auto候选</x:v>
      </x:c>
      <x:c r="M178" s="12" t="str">
        <x:v>益的权利外，其放弃作为 员工持股计划持有人的其他所有权利，包括表决权、选举权及被选举权等，并承 诺在公司 2021 年员工持股计划存续期间，不担任员工持股计划管理委员会的任 何职务。因此，牛势冲冲、气壮似牛不属于实际控制人陈凯、叶文光控制的企业。 五、 发行人股本情况 （一） 本次发行前后的股本结构情况 发行人本次发行前总股本为 39,886 万股，本...</x:v>
      </x:c>
    </x:row>
    <x:row r="179" ht="38" customHeight="1">
      <x:c r="A179" s="12" t="str">
        <x:v>W13-920249-019</x:v>
      </x:c>
      <x:c r="B179" s="12" t="str">
        <x:v>920249</x:v>
      </x:c>
      <x:c r="C179" s="12" t="str">
        <x:v>利尔达</x:v>
      </x:c>
      <x:c r="D179" s="12" t="str">
        <x:v>股权快照</x:v>
      </x:c>
      <x:c r="E179" s="12" t="n">
        <x:v>5</x:v>
      </x:c>
      <x:c r="F179" s="12" t="str">
        <x:v>持股比例</x:v>
      </x:c>
      <x:c r="G179" s="12" t="str"/>
      <x:c r="H179" s="12" t="str"/>
      <x:c r="I179" s="12" t="str"/>
      <x:c r="J179" s="12" t="str">
        <x:v>60.16%</x:v>
      </x:c>
      <x:c r="K179" s="12" t="str">
        <x:v>中</x:v>
      </x:c>
      <x:c r="L179" s="12" t="str">
        <x:v>保留为Auto候选</x:v>
      </x:c>
      <x:c r="M179" s="12" t="str">
        <x:v>发行人控股股东、发行人全体董事、监事、高级管理人员等相关主 体作出的重要承诺，参见本招股说明书“第四节发行人基本情况”之“九、重要 承诺”。 二、本次发行前滚存未分配利润的安排 经公司 2022 年第二次临时股东大会审议通过，本次发行前公司形成的滚存 未分配利润，由本次股票发行后的新老股东按各自持股比例共同享有。 三、特别风险提示 投资者应充分了解资本...</x:v>
      </x:c>
    </x:row>
    <x:row r="180" ht="38" customHeight="1">
      <x:c r="A180" s="12" t="str">
        <x:v>W13-920249-020</x:v>
      </x:c>
      <x:c r="B180" s="12" t="str">
        <x:v>920249</x:v>
      </x:c>
      <x:c r="C180" s="12" t="str">
        <x:v>利尔达</x:v>
      </x:c>
      <x:c r="D180" s="12" t="str">
        <x:v>股权快照</x:v>
      </x:c>
      <x:c r="E180" s="12" t="n">
        <x:v>67</x:v>
      </x:c>
      <x:c r="F180" s="12" t="str">
        <x:v>持股比例</x:v>
      </x:c>
      <x:c r="G180" s="12" t="str">
        <x:v>2022 年 6 月 30 日</x:v>
      </x:c>
      <x:c r="H180" s="12" t="str">
        <x:v>3,700万元</x:v>
      </x:c>
      <x:c r="I180" s="12" t="str"/>
      <x:c r="J180" s="12" t="str"/>
      <x:c r="K180" s="12" t="str">
        <x:v>中</x:v>
      </x:c>
      <x:c r="L180" s="12" t="str">
        <x:v>保留为Auto候选</x:v>
      </x:c>
      <x:c r="M180" s="12" t="str">
        <x:v>实收资本 3,700万元 注册地和主要生产经营地 浙江省杭州市余杭区仓前街道文一西路 1324号 2幢 201室 经营范围 网络及电气工程技术的研发、设计、安装、咨询、技术服务； 房屋租赁 主营业务及其与发行人主 营业务的关系 房屋租赁，与公司主营业务不存在重合 股权结构 股东名称/姓名 持股比例（%） 利尔达控股 77.50 张国宝 8.00 汪峰贤...</x:v>
      </x:c>
    </x:row>
    <x:row r="181" ht="38" customHeight="1">
      <x:c r="A181" s="12" t="str">
        <x:v>W13-920249-021</x:v>
      </x:c>
      <x:c r="B181" s="12" t="str">
        <x:v>920249</x:v>
      </x:c>
      <x:c r="C181" s="12" t="str">
        <x:v>利尔达</x:v>
      </x:c>
      <x:c r="D181" s="12" t="str">
        <x:v>股权快照</x:v>
      </x:c>
      <x:c r="E181" s="12" t="n">
        <x:v>68</x:v>
      </x:c>
      <x:c r="F181" s="12" t="str">
        <x:v>持股比例</x:v>
      </x:c>
      <x:c r="G181" s="12" t="str">
        <x:v>2022 年 6 月 30 日</x:v>
      </x:c>
      <x:c r="H181" s="12" t="str">
        <x:v>263.10 万元</x:v>
      </x:c>
      <x:c r="I181" s="12" t="str"/>
      <x:c r="J181" s="12" t="str"/>
      <x:c r="K181" s="12" t="str">
        <x:v>中</x:v>
      </x:c>
      <x:c r="L181" s="12" t="str">
        <x:v>保留为Auto候选</x:v>
      </x:c>
      <x:c r="M181" s="12" t="str">
        <x:v>楼 经营范围 生产：智能净水器过滤芯；研发、销售、技术服务：智能净 水过滤设备、智能净水龙头，智能净水系统平台，节水节能 设备、阀门、水暖五金、家用电器、加热设备（除专控）* 主营业务及其与发行人主 营业务的关系 净水器等产品的生产销售，与公司主营业务不存在重合 股权结构 股东名称/姓名 持股比例（%） 利尔达控股 51.52 卓冰杰 28.92 李建...</x:v>
      </x:c>
    </x:row>
    <x:row r="182" ht="38" customHeight="1">
      <x:c r="A182" s="12" t="str">
        <x:v>W13-920249-022</x:v>
      </x:c>
      <x:c r="B182" s="12" t="str">
        <x:v>920249</x:v>
      </x:c>
      <x:c r="C182" s="12" t="str">
        <x:v>利尔达</x:v>
      </x:c>
      <x:c r="D182" s="12" t="str">
        <x:v>股权快照</x:v>
      </x:c>
      <x:c r="E182" s="12" t="n">
        <x:v>71</x:v>
      </x:c>
      <x:c r="F182" s="12" t="str">
        <x:v>股本结构</x:v>
      </x:c>
      <x:c r="G182" s="12" t="str"/>
      <x:c r="H182" s="12" t="str"/>
      <x:c r="I182" s="12" t="str">
        <x:v>297 万股</x:v>
      </x:c>
      <x:c r="J182" s="12" t="str">
        <x:v>15%</x:v>
      </x:c>
      <x:c r="K182" s="12" t="str">
        <x:v>中</x:v>
      </x:c>
      <x:c r="L182" s="12" t="str">
        <x:v>保留为Auto候选</x:v>
      </x:c>
      <x:c r="M182" s="12" t="str">
        <x:v>超额配售选择权， 采用超额 配售选择权发行的股票数量不超过本次发行股票数量的 15%， 即不超过297 万股 （含本数），包含采用超额配售选择权发行的股票数量在内，公司本次拟向不特 定合格投资者发行股票数量不超过 2,277 万股（含本数），因此在考虑全额采用 超额配售选择权的情况下，本次发行前后的股本结构如下： 序号 股东姓名/名称 发行前 发行后 ...</x:v>
      </x:c>
    </x:row>
    <x:row r="183" ht="38" customHeight="1">
      <x:c r="A183" s="12" t="str">
        <x:v>W13-920249-023</x:v>
      </x:c>
      <x:c r="B183" s="12" t="str">
        <x:v>920249</x:v>
      </x:c>
      <x:c r="C183" s="12" t="str">
        <x:v>利尔达</x:v>
      </x:c>
      <x:c r="D183" s="12" t="str">
        <x:v>股权快照</x:v>
      </x:c>
      <x:c r="E183" s="12" t="n">
        <x:v>72</x:v>
      </x:c>
      <x:c r="F183" s="12" t="str">
        <x:v>股东持股情况</x:v>
      </x:c>
      <x:c r="G183" s="12" t="str">
        <x:v>2001年 12月 19日</x:v>
      </x:c>
      <x:c r="H183" s="12" t="str">
        <x:v>100 万元</x:v>
      </x:c>
      <x:c r="I183" s="12" t="str"/>
      <x:c r="J183" s="12" t="str">
        <x:v>100.00%</x:v>
      </x:c>
      <x:c r="K183" s="12" t="str">
        <x:v>中</x:v>
      </x:c>
      <x:c r="L183" s="12" t="str">
        <x:v>保留为Auto候选</x:v>
      </x:c>
      <x:c r="M183" s="12" t="str">
        <x:v>-- 合计 39,886.00 100.00% -- -- （三） 其他披露事项 1、发行人历史沿革股权代持情况 （1）2001 年公司设立之初股权代持情况 ①股权代持的形成、原因及解除 公司于 2001年 12月 19日在杭州市工商行政管理局注册成立， 注册资本100 万元，设立时股东持股情况为蒋建龙以货币方式出资45 万元（出资比例45%）、 孙克...</x:v>
      </x:c>
    </x:row>
    <x:row r="184" ht="38" customHeight="1">
      <x:c r="A184" s="12" t="str">
        <x:v>W13-920249-024</x:v>
      </x:c>
      <x:c r="B184" s="12" t="str">
        <x:v>920249</x:v>
      </x:c>
      <x:c r="C184" s="12" t="str">
        <x:v>利尔达</x:v>
      </x:c>
      <x:c r="D184" s="12" t="str">
        <x:v>股权快照</x:v>
      </x:c>
      <x:c r="E184" s="12" t="n">
        <x:v>109</x:v>
      </x:c>
      <x:c r="F184" s="12" t="str">
        <x:v>持股数量</x:v>
      </x:c>
      <x:c r="G184" s="12" t="str"/>
      <x:c r="H184" s="12" t="str"/>
      <x:c r="I184" s="12" t="str"/>
      <x:c r="J184" s="12" t="str"/>
      <x:c r="K184" s="12" t="str">
        <x:v>低</x:v>
      </x:c>
      <x:c r="L184" s="12" t="str">
        <x:v>保留为Auto候选</x:v>
      </x:c>
      <x:c r="M184" s="12" t="str">
        <x:v>高级管理人员情况”之“（一） 董事、监事、高级管理人员的简要情况”之“1、董事会成员”。 （二） 直接或间接持有发行人股份的情况 截至本招股说明书签署日，公司现任董事、监事、高级管理人员及其近亲属 直接或间接持有发行人股份的情况如下： 序 号 姓名 身份及 职务 直接持股 间接持股 持股数量 （万股） 持股比例 （%） 间接持股 主体 持股数量 （万股...</x:v>
      </x:c>
    </x:row>
    <x:row r="185" ht="38" customHeight="1">
      <x:c r="A185" s="12" t="str">
        <x:v>W13-920249-025</x:v>
      </x:c>
      <x:c r="B185" s="12" t="str">
        <x:v>920249</x:v>
      </x:c>
      <x:c r="C185" s="12" t="str">
        <x:v>利尔达</x:v>
      </x:c>
      <x:c r="D185" s="12" t="str">
        <x:v>基金备案</x:v>
      </x:c>
      <x:c r="E185" s="12" t="n">
        <x:v>39</x:v>
      </x:c>
      <x:c r="F185" s="12" t="str">
        <x:v>备案号</x:v>
      </x:c>
      <x:c r="G185" s="12" t="str"/>
      <x:c r="H185" s="12" t="str"/>
      <x:c r="I185" s="12" t="str"/>
      <x:c r="J185" s="12" t="str"/>
      <x:c r="K185" s="12" t="str">
        <x:v>低</x:v>
      </x:c>
      <x:c r="L185" s="12" t="str">
        <x:v>保留为Auto候选</x:v>
      </x:c>
      <x:c r="M185" s="12" t="str">
        <x:v>、 募集资金运用 根据公司第三届董事会第十七次会议、第四届董事会第五次会议、第四届董 事会第七次会议和 2021 年第三次临时股东大会、2022 年第三次临时股东大会会 议决议，本次募集资金扣除发行费用后的净额拟全部用于如下用途。 单位：万元 序 号 项目名称 项目总投入 拟投入募集资金 项目备案号 1 先芯三期物联网模 块扩产项目 12,000.00...</x:v>
      </x:c>
    </x:row>
    <x:row r="186" ht="38" customHeight="1">
      <x:c r="A186" s="12" t="str">
        <x:v>W13-920249-026</x:v>
      </x:c>
      <x:c r="B186" s="12" t="str">
        <x:v>920249</x:v>
      </x:c>
      <x:c r="C186" s="12" t="str">
        <x:v>利尔达</x:v>
      </x:c>
      <x:c r="D186" s="12" t="str">
        <x:v>特殊投资条款</x:v>
      </x:c>
      <x:c r="E186" s="12" t="n">
        <x:v>85</x:v>
      </x:c>
      <x:c r="F186" s="12" t="str">
        <x:v>特殊投资约定</x:v>
      </x:c>
      <x:c r="G186" s="12" t="str">
        <x:v>2013 年 12 月</x:v>
      </x:c>
      <x:c r="H186" s="12" t="str">
        <x:v>3,837 万元</x:v>
      </x:c>
      <x:c r="I186" s="12" t="str">
        <x:v>7,000 万股</x:v>
      </x:c>
      <x:c r="J186" s="12" t="str"/>
      <x:c r="K186" s="12" t="str">
        <x:v>中</x:v>
      </x:c>
      <x:c r="L186" s="12" t="str">
        <x:v>保留为Auto候选</x:v>
      </x:c>
      <x:c r="M186" s="12" t="str">
        <x:v>为上述 5 名为开展员工持股计划设立的合伙企业 （包括内部 董事、监事、高级管理人员、公司员工），实际认购的股票总股本为3,837 万元， 认购金额为 6,139.20 万元。 截至本招股说明书签署日， 上述员工持股计划已实施完成， 且尚在锁定期内， 不存在对公司股权结构造成影响的情况。 （二）特殊投资约定 1、2013 年 12 月，特殊投资约定事项...</x:v>
      </x:c>
    </x:row>
    <x:row r="187" ht="38" customHeight="1">
      <x:c r="A187" s="12" t="str">
        <x:v>W13-920249-027</x:v>
      </x:c>
      <x:c r="B187" s="12" t="str">
        <x:v>920249</x:v>
      </x:c>
      <x:c r="C187" s="12" t="str">
        <x:v>利尔达</x:v>
      </x:c>
      <x:c r="D187" s="12" t="str">
        <x:v>特殊投资条款</x:v>
      </x:c>
      <x:c r="E187" s="12" t="n">
        <x:v>86</x:v>
      </x:c>
      <x:c r="F187" s="12" t="str">
        <x:v>对赌</x:v>
      </x:c>
      <x:c r="G187" s="12" t="str">
        <x:v>2013 年 12 月 12 日</x:v>
      </x:c>
      <x:c r="H187" s="12" t="str"/>
      <x:c r="I187" s="12" t="str"/>
      <x:c r="J187" s="12" t="str"/>
      <x:c r="K187" s="12" t="str">
        <x:v>中</x:v>
      </x:c>
      <x:c r="L187" s="12" t="str">
        <x:v>保留为Auto候选</x:v>
      </x:c>
      <x:c r="M187" s="12" t="str">
        <x:v>1-1-85 2013 年 12 月 12 日，5 名外部投资人与公司、利尔达控股、实际控制人之一 陈凯签署了《关于利尔达科技集团股份有限公司之股份认购及增资协议》，其中 约定了对赌回购条款，主要内容为“5.1当出现以下任何情况时，投资方有权要求 目标公司和/或原大股东回购投资方所持有的全部公司股份； 5.1.1 不论任何主观或客观原因，目标公司不能在...</x:v>
      </x:c>
    </x:row>
    <x:row r="188" ht="38" customHeight="1">
      <x:c r="A188" s="12" t="str">
        <x:v>W13-920249-028</x:v>
      </x:c>
      <x:c r="B188" s="12" t="str">
        <x:v>920249</x:v>
      </x:c>
      <x:c r="C188" s="12" t="str">
        <x:v>利尔达</x:v>
      </x:c>
      <x:c r="D188" s="12" t="str">
        <x:v>特殊投资条款</x:v>
      </x:c>
      <x:c r="E188" s="12" t="n">
        <x:v>88</x:v>
      </x:c>
      <x:c r="F188" s="12" t="str">
        <x:v>特殊投资约定</x:v>
      </x:c>
      <x:c r="G188" s="12" t="str">
        <x:v>2019 年 3 月</x:v>
      </x:c>
      <x:c r="H188" s="12" t="str"/>
      <x:c r="I188" s="12" t="str">
        <x:v>560万股</x:v>
      </x:c>
      <x:c r="J188" s="12" t="str">
        <x:v>60%</x:v>
      </x:c>
      <x:c r="K188" s="12" t="str">
        <x:v>中</x:v>
      </x:c>
      <x:c r="L188" s="12" t="str">
        <x:v>保留为Auto候选</x:v>
      </x:c>
      <x:c r="M188" s="12" t="str">
        <x:v>60%）；2019 年 3 月至 4 月，利尔达控股及其介绍的第三方回购上述5 名投资人 所持有的剩余发行人股份 （田永强、 陈忠献和马利敏放弃该次要求回购的权利） ， 实际履行或经介绍履行回购义务的受让方为利尔达控股、孟国庆、孙光辉和成都 牛斗。 2、2019 年 9 月，特殊协议约定事项 ①特殊投资约定的形成及内容 成都牛斗受让陈忠献以及朱红影所持...</x:v>
      </x:c>
    </x:row>
    <x:row r="189" ht="38" customHeight="1">
      <x:c r="A189" s="12" t="str">
        <x:v>W13-920249-029</x:v>
      </x:c>
      <x:c r="B189" s="12" t="str">
        <x:v>920249</x:v>
      </x:c>
      <x:c r="C189" s="12" t="str">
        <x:v>利尔达</x:v>
      </x:c>
      <x:c r="D189" s="12" t="str">
        <x:v>特殊投资条款</x:v>
      </x:c>
      <x:c r="E189" s="12" t="n">
        <x:v>87</x:v>
      </x:c>
      <x:c r="F189" s="12" t="str">
        <x:v>对赌</x:v>
      </x:c>
      <x:c r="G189" s="12" t="str"/>
      <x:c r="H189" s="12" t="str"/>
      <x:c r="I189" s="12" t="str">
        <x:v>100 万股</x:v>
      </x:c>
      <x:c r="J189" s="12" t="str"/>
      <x:c r="K189" s="12" t="str">
        <x:v>中</x:v>
      </x:c>
      <x:c r="L189" s="12" t="str">
        <x:v>保留为Auto候选</x:v>
      </x:c>
      <x:c r="M189" s="12" t="str">
        <x:v>1-1-86 绍的其他第三方成都牛斗网络科技有限公司（以下简称“成都牛斗”）、孟国庆、 孙光辉出售所持的发行人部分或全部股份， 并与股东利尔达控股、 陈凯签署了 《关 于解除利尔达科技集团股份有限公司股份收购安排协议》，解除了利尔达控股、 陈凯的上述对赌回购义务，具体内容如下： “一、投资方与原大股东就已发生的股份收购事宜无任何异议。 二、自本协议签署...</x:v>
      </x:c>
    </x:row>
    <x:row r="190" ht="38" customHeight="1">
      <x:c r="A190" s="12" t="str">
        <x:v>W13-920249-030</x:v>
      </x:c>
      <x:c r="B190" s="12" t="str">
        <x:v>920249</x:v>
      </x:c>
      <x:c r="C190" s="12" t="str">
        <x:v>利尔达</x:v>
      </x:c>
      <x:c r="D190" s="12" t="str">
        <x:v>特殊投资条款</x:v>
      </x:c>
      <x:c r="E190" s="12" t="n">
        <x:v>89</x:v>
      </x:c>
      <x:c r="F190" s="12" t="str">
        <x:v>对赌</x:v>
      </x:c>
      <x:c r="G190" s="12" t="str">
        <x:v>2006年 7月 11日</x:v>
      </x:c>
      <x:c r="H190" s="12" t="str">
        <x:v>5,000万元</x:v>
      </x:c>
      <x:c r="I190" s="12" t="str"/>
      <x:c r="J190" s="12" t="str">
        <x:v>100%</x:v>
      </x:c>
      <x:c r="K190" s="12" t="str">
        <x:v>中</x:v>
      </x:c>
      <x:c r="L190" s="12" t="str">
        <x:v>保留为Auto候选</x:v>
      </x:c>
      <x:c r="M190" s="12" t="str">
        <x:v>1-1-88 截至本招股说明书签署日，5 名外部投资人、成都牛斗、利尔达控股、孟国 庆、孙光辉等相关方对上述协议的履行及解除不存在任何异议，各方不存在任何 争议或纠纷，亦不存在任何未解除的对赌义务。 七、 发行人的分公司、控股子公司、参股公司情况 截至本招股说明书签署日，发行人拥有 10 家控股子公司，6 家参股公司，发 行人及其控股子公司共拥有 6 ...</x:v>
      </x:c>
    </x:row>
    <x:row r="191" ht="38" customHeight="1">
      <x:c r="A191" s="12" t="str">
        <x:v>W13-920438-001</x:v>
      </x:c>
      <x:c r="B191" s="12" t="str">
        <x:v>920438</x:v>
      </x:c>
      <x:c r="C191" s="12" t="str">
        <x:v>戈碧迦</x:v>
      </x:c>
      <x:c r="D191" s="12" t="str">
        <x:v>增资认缴</x:v>
      </x:c>
      <x:c r="E191" s="12" t="n">
        <x:v>37</x:v>
      </x:c>
      <x:c r="F191" s="12" t="str">
        <x:v>认购</x:v>
      </x:c>
      <x:c r="G191" s="12" t="str"/>
      <x:c r="H191" s="12" t="str"/>
      <x:c r="I191" s="12" t="str"/>
      <x:c r="J191" s="12" t="str"/>
      <x:c r="K191" s="12" t="str">
        <x:v>低</x:v>
      </x:c>
      <x:c r="L191" s="12" t="str">
        <x:v>保留为Auto候选</x:v>
      </x:c>
      <x:c r="M191" s="12" t="str">
        <x:v>不力、光学玻璃 和特种功能玻璃 需求增长不如预期或行业产能扩张过 快导致市场竞争加剧可能，从而产生公司新增产能不能完全达产、及时消化的风险。 七、其他风险 （一）发行失败的风险 本次向不特定合格投资者公开发行股票并在北交所上市发行过程中，受到证券市 场整体情况、投资者对公司的价值判断、投资者的认购意愿等因素的影响，可能出现 因认购不足、未能达到预计市值...</x:v>
      </x:c>
    </x:row>
    <x:row r="192" ht="38" customHeight="1">
      <x:c r="A192" s="12" t="str">
        <x:v>W13-920438-002</x:v>
      </x:c>
      <x:c r="B192" s="12" t="str">
        <x:v>920438</x:v>
      </x:c>
      <x:c r="C192" s="12" t="str">
        <x:v>戈碧迦</x:v>
      </x:c>
      <x:c r="D192" s="12" t="str">
        <x:v>股权转让</x:v>
      </x:c>
      <x:c r="E192" s="12" t="n">
        <x:v>73</x:v>
      </x:c>
      <x:c r="F192" s="12" t="str">
        <x:v>大宗交易</x:v>
      </x:c>
      <x:c r="G192" s="12" t="str"/>
      <x:c r="H192" s="12" t="str"/>
      <x:c r="I192" s="12" t="str"/>
      <x:c r="J192" s="12" t="str"/>
      <x:c r="K192" s="12" t="str">
        <x:v>低</x:v>
      </x:c>
      <x:c r="L192" s="12" t="str">
        <x:v>保留为Auto候选</x:v>
      </x:c>
      <x:c r="M192" s="12" t="str">
        <x:v>市场情况、本人资金需求、投资 安排等各方面因素确定减持计划，择机进行减持。3、本人减持发行人股票将严格遵守 中国证监会《上市公司股东、董监高减持股份的若干规定》 《北京证券交易所股票上市 规则（试行） 》等法律法规和规范性文件及证券交易所规则的规定，具体方式包括但不 限于证券交易所集中竞价交易方式、大宗交易方式、协议转让等监管机构认可的方 式。4、若本...</x:v>
      </x:c>
    </x:row>
    <x:row r="193" ht="38" customHeight="1">
      <x:c r="A193" s="12" t="str">
        <x:v>W13-920438-003</x:v>
      </x:c>
      <x:c r="B193" s="12" t="str">
        <x:v>920438</x:v>
      </x:c>
      <x:c r="C193" s="12" t="str">
        <x:v>戈碧迦</x:v>
      </x:c>
      <x:c r="D193" s="12" t="str">
        <x:v>股权转让</x:v>
      </x:c>
      <x:c r="E193" s="12" t="n">
        <x:v>74</x:v>
      </x:c>
      <x:c r="F193" s="12" t="str">
        <x:v>大宗交易</x:v>
      </x:c>
      <x:c r="G193" s="12" t="str"/>
      <x:c r="H193" s="12" t="str"/>
      <x:c r="I193" s="12" t="str"/>
      <x:c r="J193" s="12" t="str">
        <x:v>25%</x:v>
      </x:c>
      <x:c r="K193" s="12" t="str">
        <x:v>低</x:v>
      </x:c>
      <x:c r="L193" s="12" t="str">
        <x:v>保留为Auto候选</x:v>
      </x:c>
      <x:c r="M193" s="12" t="str">
        <x:v>运作的需要， 审慎制定股票减持计划，在股票锁定期满后逐步减持。2、本人减持发行人股票将会严 格遵守中国证监会《上市公司股东、董监高减持股份的若干规定》 《北京证券交易所股 票上市规则（试行） 》等法律法规和规范性文件及证券交易所规则的规定。本人减持具 体方式包括但不 限于证券交易所集中竞价交易方式、大宗交易方式、协议转让方式监 管机构认可的方式。3、若...</x:v>
      </x:c>
    </x:row>
    <x:row r="194" ht="38" customHeight="1">
      <x:c r="A194" s="12" t="str">
        <x:v>W13-920438-004</x:v>
      </x:c>
      <x:c r="B194" s="12" t="str">
        <x:v>920438</x:v>
      </x:c>
      <x:c r="C194" s="12" t="str">
        <x:v>戈碧迦</x:v>
      </x:c>
      <x:c r="D194" s="12" t="str">
        <x:v>股权转让</x:v>
      </x:c>
      <x:c r="E194" s="12" t="n">
        <x:v>75</x:v>
      </x:c>
      <x:c r="F194" s="12" t="str">
        <x:v>大宗交易</x:v>
      </x:c>
      <x:c r="G194" s="12" t="str"/>
      <x:c r="H194" s="12" t="str"/>
      <x:c r="I194" s="12" t="str"/>
      <x:c r="J194" s="12" t="str"/>
      <x:c r="K194" s="12" t="str">
        <x:v>低</x:v>
      </x:c>
      <x:c r="L194" s="12" t="str">
        <x:v>保留为Auto候选</x:v>
      </x:c>
      <x:c r="M194" s="12" t="str">
        <x:v>作 的需要，审慎制定股票减持计划，在股票锁定期满后逐步减持。2、本企业减持发行人 股票将会严格遵守中国证监会《上市公司股东、董监高减持股份的若干规定》 《北京证 券交易所股票上市规则（试行） 》等法律法规和规范性文件及证券交易所规则的规定。 本企业减持具体方式包括但不限于证券交易所集中竞价交易方式、大宗交易方式、协 议转让方式监管机构认可的方式。3、若...</x:v>
      </x:c>
    </x:row>
    <x:row r="195" ht="38" customHeight="1">
      <x:c r="A195" s="12" t="str">
        <x:v>W13-920438-005</x:v>
      </x:c>
      <x:c r="B195" s="12" t="str">
        <x:v>920438</x:v>
      </x:c>
      <x:c r="C195" s="12" t="str">
        <x:v>戈碧迦</x:v>
      </x:c>
      <x:c r="D195" s="12" t="str">
        <x:v>股权转让</x:v>
      </x:c>
      <x:c r="E195" s="12" t="n">
        <x:v>14</x:v>
      </x:c>
      <x:c r="F195" s="12" t="str">
        <x:v>股份转让</x:v>
      </x:c>
      <x:c r="G195" s="12" t="str"/>
      <x:c r="H195" s="12" t="str"/>
      <x:c r="I195" s="12" t="str"/>
      <x:c r="J195" s="12" t="str"/>
      <x:c r="K195" s="12" t="str">
        <x:v>低</x:v>
      </x:c>
      <x:c r="L195" s="12" t="str">
        <x:v>排除为转让系统语境</x:v>
      </x:c>
      <x:c r="M195" s="12" t="str">
        <x:v>《证券法》 指 《中华人民共和国证券法》 《上市规则》 指 《北京证券交易所股票上市规则（试行）》 本次公开发行 指 发行人本次向不特定合格投资者公开发行股票并在北京证 券交易所上市 招股说明书、本招股说明书 指 《湖北戈碧迦光电科技股份有限公司招股说明书》 全国股转系统 指 全国中小企业股份转让系统 全国股转公司 指 全国中小企业股份转让系统有限责任...</x:v>
      </x:c>
    </x:row>
    <x:row r="196" ht="38" customHeight="1">
      <x:c r="A196" s="12" t="str">
        <x:v>W13-920438-006</x:v>
      </x:c>
      <x:c r="B196" s="12" t="str">
        <x:v>920438</x:v>
      </x:c>
      <x:c r="C196" s="12" t="str">
        <x:v>戈碧迦</x:v>
      </x:c>
      <x:c r="D196" s="12" t="str">
        <x:v>股权转让</x:v>
      </x:c>
      <x:c r="E196" s="12" t="n">
        <x:v>39</x:v>
      </x:c>
      <x:c r="F196" s="12" t="str">
        <x:v>股份转让</x:v>
      </x:c>
      <x:c r="G196" s="12" t="str">
        <x:v>2016 年 1 月 19 日</x:v>
      </x:c>
      <x:c r="H196" s="12" t="str"/>
      <x:c r="I196" s="12" t="str"/>
      <x:c r="J196" s="12" t="str"/>
      <x:c r="K196" s="12" t="str">
        <x:v>低</x:v>
      </x:c>
      <x:c r="L196" s="12" t="str">
        <x:v>排除为转让系统语境</x:v>
      </x:c>
      <x:c r="M196" s="12" t="str">
        <x:v>经相关部门批准后方可开展经营活动） 主营业务 光学玻璃和特种功能玻璃的研发、生产与销售 主要产品与服务项目 光学玻璃和特种功能玻璃 二、 发行人挂牌期间的基本情况 （一） 挂牌时间 2016 年 1 月 19 日 （二） 挂牌地点 2015 年 12 月 22 日，全国中小企业股份转让系统有限责任公司出具《关于同意湖 北戈碧迦光电科技股份有限公司股票在...</x:v>
      </x:c>
    </x:row>
    <x:row r="197" ht="38" customHeight="1">
      <x:c r="A197" s="12" t="str">
        <x:v>W13-920438-007</x:v>
      </x:c>
      <x:c r="B197" s="12" t="str">
        <x:v>920438</x:v>
      </x:c>
      <x:c r="C197" s="12" t="str">
        <x:v>戈碧迦</x:v>
      </x:c>
      <x:c r="D197" s="12" t="str">
        <x:v>股权转让</x:v>
      </x:c>
      <x:c r="E197" s="12" t="n">
        <x:v>40</x:v>
      </x:c>
      <x:c r="F197" s="12" t="str">
        <x:v>股份转让</x:v>
      </x:c>
      <x:c r="G197" s="12" t="str">
        <x:v>2018 年 1 月 15 日</x:v>
      </x:c>
      <x:c r="H197" s="12" t="str"/>
      <x:c r="I197" s="12" t="str"/>
      <x:c r="J197" s="12" t="str"/>
      <x:c r="K197" s="12" t="str">
        <x:v>中</x:v>
      </x:c>
      <x:c r="L197" s="12" t="str">
        <x:v>保留为Auto候选</x:v>
      </x:c>
      <x:c r="M197" s="12" t="str">
        <x:v>券股份有限公司，公司挂牌至今未发生过主办券商变 更的情况。 （六） 报告期内年报审计机构及其变动情况 报告期内，公司审计机构为大华会计师事务所（特殊普通合伙），无变动。 （七） 股票交易方式及其变更情况 公司挂牌时交易方式为协议转让。 根据全国股转系统 发布的《关于实施全国中小企业股份转让系统股票转让方式确 定及变更指引》及其过渡期间有关事项的问答，公...</x:v>
      </x:c>
    </x:row>
    <x:row r="198" ht="38" customHeight="1">
      <x:c r="A198" s="12" t="str">
        <x:v>W13-920438-008</x:v>
      </x:c>
      <x:c r="B198" s="12" t="str">
        <x:v>920438</x:v>
      </x:c>
      <x:c r="C198" s="12" t="str">
        <x:v>戈碧迦</x:v>
      </x:c>
      <x:c r="D198" s="12" t="str">
        <x:v>股权转让</x:v>
      </x:c>
      <x:c r="E198" s="12" t="n">
        <x:v>82</x:v>
      </x:c>
      <x:c r="F198" s="12" t="str">
        <x:v>转让给</x:v>
      </x:c>
      <x:c r="G198" s="12" t="str">
        <x:v>2022 年 10 月 22 日</x:v>
      </x:c>
      <x:c r="H198" s="12" t="str"/>
      <x:c r="I198" s="12" t="str"/>
      <x:c r="J198" s="12" t="str"/>
      <x:c r="K198" s="12" t="str">
        <x:v>中</x:v>
      </x:c>
      <x:c r="L198" s="12" t="str">
        <x:v>保留为Auto候选</x:v>
      </x:c>
      <x:c r="M198" s="12" t="str">
        <x:v>、如发行人进一步拓展其业务范围，本人及本人 控制的其他企业将不与发行人拓展后的业务相竞争；可能与发行人拓展 后的业务产生 竞争的，本人及本人控制的其他企业将按照如下方式退出与发行人的竞争： A.停止与 发行人构成竞争或可能构成竞争的业务； B.将相竞争的业务纳入到发行人来经营； C. 将相竞争的业务转让给无关联的第三方。4、如本人及本人控制的其他企业有...</x:v>
      </x:c>
    </x:row>
    <x:row r="199" ht="38" customHeight="1">
      <x:c r="A199" s="12" t="str">
        <x:v>W13-920438-009</x:v>
      </x:c>
      <x:c r="B199" s="12" t="str">
        <x:v>920438</x:v>
      </x:c>
      <x:c r="C199" s="12" t="str">
        <x:v>戈碧迦</x:v>
      </x:c>
      <x:c r="D199" s="12" t="str">
        <x:v>股权转让</x:v>
      </x:c>
      <x:c r="E199" s="12" t="n">
        <x:v>87</x:v>
      </x:c>
      <x:c r="F199" s="12" t="str">
        <x:v>股份回购</x:v>
      </x:c>
      <x:c r="G199" s="12" t="str"/>
      <x:c r="H199" s="12" t="str"/>
      <x:c r="I199" s="12" t="str"/>
      <x:c r="J199" s="12" t="str"/>
      <x:c r="K199" s="12" t="str">
        <x:v>低</x:v>
      </x:c>
      <x:c r="L199" s="12" t="str">
        <x:v>保留为Auto候选</x:v>
      </x:c>
      <x:c r="M199" s="12" t="str">
        <x:v>份有限公司向不特定合 格投资者公开发行股票并在北京证券交易所上市后三年内稳定股价措施的预案 》的内 容并承担相应的法律责任。 （2）在启动股价稳定措施的前提条件满足时，本公司将按 照经股东大会审议通过的稳定股价的预案回购本公司股票，同时本公司也将遵照《北 京证券交易所上市公司持续监管指引第 4 号—股份回购》等法律法规的条件下回购股 份，不导致本公司股...</x:v>
      </x:c>
    </x:row>
    <x:row r="200" ht="38" customHeight="1">
      <x:c r="A200" s="12" t="str">
        <x:v>W13-920438-010</x:v>
      </x:c>
      <x:c r="B200" s="12" t="str">
        <x:v>920438</x:v>
      </x:c>
      <x:c r="C200" s="12" t="str">
        <x:v>戈碧迦</x:v>
      </x:c>
      <x:c r="D200" s="12" t="str">
        <x:v>股权快照</x:v>
      </x:c>
      <x:c r="E200" s="12" t="n">
        <x:v>45</x:v>
      </x:c>
      <x:c r="F200" s="12" t="str">
        <x:v>持股比例</x:v>
      </x:c>
      <x:c r="G200" s="12" t="str"/>
      <x:c r="H200" s="12" t="str"/>
      <x:c r="I200" s="12" t="str"/>
      <x:c r="J200" s="12" t="str">
        <x:v>87.57%</x:v>
      </x:c>
      <x:c r="K200" s="12" t="str">
        <x:v>中</x:v>
      </x:c>
      <x:c r="L200" s="12" t="str">
        <x:v>保留为Auto候选</x:v>
      </x:c>
      <x:c r="M200" s="12" t="str">
        <x:v>设立创业投资企业与企业投资管理顾问 机构。（依法须经批准的项目，经相关部门批准后方可开展经营活动） 截至本招股说明书签署日，武汉潜龙创业投资中心（有限合伙）共有 4 名合伙 人，其中孙弘哲为普通合伙人，其余均为有限合伙人，其出资的具体情况如下所示： 序号 合伙人名称 合伙人类别 出资额（万元） 持股比例 1 孙道文 有限合伙人 1,585.00 87....</x:v>
      </x:c>
    </x:row>
    <x:row r="201" ht="38" customHeight="1">
      <x:c r="A201" s="12" t="str">
        <x:v>W13-920438-011</x:v>
      </x:c>
      <x:c r="B201" s="12" t="str">
        <x:v>920438</x:v>
      </x:c>
      <x:c r="C201" s="12" t="str">
        <x:v>戈碧迦</x:v>
      </x:c>
      <x:c r="D201" s="12" t="str">
        <x:v>股权快照</x:v>
      </x:c>
      <x:c r="E201" s="12" t="n">
        <x:v>55</x:v>
      </x:c>
      <x:c r="F201" s="12" t="str">
        <x:v>前十名股东</x:v>
      </x:c>
      <x:c r="G201" s="12" t="str"/>
      <x:c r="H201" s="12" t="str"/>
      <x:c r="I201" s="12" t="str"/>
      <x:c r="J201" s="12" t="str"/>
      <x:c r="K201" s="12" t="str">
        <x:v>中</x:v>
      </x:c>
      <x:c r="L201" s="12" t="str">
        <x:v>保留为Auto候选</x:v>
      </x:c>
      <x:c r="M201" s="12" t="str">
        <x:v>200.00 1.69 200.00 1.45 12 现有其他股东 3,260.28 27.57 3,260.28 23.58 13 本次发行新股 - - 2,000.00 14.47 合计 11,825.00 100.00 13,825.00 100.00 （二） 本次发行前公司前十名股东情况 序号 股东姓名/名称 担任职务 持股数量 （万股） 限售...</x:v>
      </x:c>
    </x:row>
    <x:row r="202" ht="38" customHeight="1">
      <x:c r="A202" s="12" t="str">
        <x:v>W13-920438-012</x:v>
      </x:c>
      <x:c r="B202" s="12" t="str">
        <x:v>920438</x:v>
      </x:c>
      <x:c r="C202" s="12" t="str">
        <x:v>戈碧迦</x:v>
      </x:c>
      <x:c r="D202" s="12" t="str">
        <x:v>股权快照</x:v>
      </x:c>
      <x:c r="E202" s="12" t="n">
        <x:v>43</x:v>
      </x:c>
      <x:c r="F202" s="12" t="str">
        <x:v>持股比例</x:v>
      </x:c>
      <x:c r="G202" s="12" t="str"/>
      <x:c r="H202" s="12" t="str"/>
      <x:c r="I202" s="12" t="str"/>
      <x:c r="J202" s="12" t="str">
        <x:v>5%</x:v>
      </x:c>
      <x:c r="K202" s="12" t="str">
        <x:v>中</x:v>
      </x:c>
      <x:c r="L202" s="12" t="str">
        <x:v>保留为Auto候选</x:v>
      </x:c>
      <x:c r="M202" s="12" t="str">
        <x:v>际控制人的具体认定依据 详见“第二节概览”之“二、发行人及其控股股东、 实际控制人的情况”。 报告期内，公司的控股股东和实际控制人未发生变化。 （二） 持有发行人 5%以上股份的其他主要股东 截至本招股说明书签署日，公司持股 5%以上的股东如下所示： 序号 股东姓名/名称 持股数（股） 持股比例 1 虞顺积 29,942,900 25.32% 2 秭归...</x:v>
      </x:c>
    </x:row>
    <x:row r="203" ht="38" customHeight="1">
      <x:c r="A203" s="12" t="str">
        <x:v>W13-920438-013</x:v>
      </x:c>
      <x:c r="B203" s="12" t="str">
        <x:v>920438</x:v>
      </x:c>
      <x:c r="C203" s="12" t="str">
        <x:v>戈碧迦</x:v>
      </x:c>
      <x:c r="D203" s="12" t="str">
        <x:v>股权快照</x:v>
      </x:c>
      <x:c r="E203" s="12" t="n">
        <x:v>44</x:v>
      </x:c>
      <x:c r="F203" s="12" t="str">
        <x:v>持股比例</x:v>
      </x:c>
      <x:c r="G203" s="12" t="str"/>
      <x:c r="H203" s="12" t="str"/>
      <x:c r="I203" s="12" t="str"/>
      <x:c r="J203" s="12" t="str">
        <x:v>31.12%</x:v>
      </x:c>
      <x:c r="K203" s="12" t="str">
        <x:v>中</x:v>
      </x:c>
      <x:c r="L203" s="12" t="str">
        <x:v>保留为Auto候选</x:v>
      </x:c>
      <x:c r="M203" s="12" t="str">
        <x:v>须经批准的项目，经相关部门批准 后方可开展经营活动） 与发行人主营业务的关系 不存在竞争关系 截至本招股说明书签署日，秭归桐碧迦企业管理咨询中心（有限合伙）共有 17 名 合伙人，其中虞国强为普通合伙人，其余均为有限合伙人，其出资的具体情况如下： 序号 合伙人名称 合伙人类别 出资额（万元） 持股比例 1 虞顺积 有限合伙人 274.50 31.12%</x:v>
      </x:c>
    </x:row>
    <x:row r="204" ht="38" customHeight="1">
      <x:c r="A204" s="12" t="str">
        <x:v>W13-920438-014</x:v>
      </x:c>
      <x:c r="B204" s="12" t="str">
        <x:v>920438</x:v>
      </x:c>
      <x:c r="C204" s="12" t="str">
        <x:v>戈碧迦</x:v>
      </x:c>
      <x:c r="D204" s="12" t="str">
        <x:v>股权快照</x:v>
      </x:c>
      <x:c r="E204" s="12" t="n">
        <x:v>47</x:v>
      </x:c>
      <x:c r="F204" s="12" t="str">
        <x:v>持股比例</x:v>
      </x:c>
      <x:c r="G204" s="12" t="str">
        <x:v>2020 年 4 月 2 日</x:v>
      </x:c>
      <x:c r="H204" s="12" t="str">
        <x:v>70 万元</x:v>
      </x:c>
      <x:c r="I204" s="12" t="str"/>
      <x:c r="J204" s="12" t="str">
        <x:v>95.10%</x:v>
      </x:c>
      <x:c r="K204" s="12" t="str">
        <x:v>高</x:v>
      </x:c>
      <x:c r="L204" s="12" t="str">
        <x:v>保留为Auto候选</x:v>
      </x:c>
      <x:c r="M204" s="12" t="str">
        <x:v>23 年度 1,359.00 - - 注：最近一年财务数据未经审计。 截至本招股说明书签署日，秭归弘毅企业管理咨询中心（有限合伙） 共有 2 名合 伙人，其中秭归嘉鑫 装饰工程有限公司为普通合伙人，虞国强为有限合伙人，其出资 的具体情况如下所示： 序号 合伙人名称 合伙人类别 出资额（万元） 持股比例 1 虞国强 有限合伙人 1,360.00 95.1...</x:v>
      </x:c>
    </x:row>
    <x:row r="205" ht="38" customHeight="1">
      <x:c r="A205" s="12" t="str">
        <x:v>W13-920438-015</x:v>
      </x:c>
      <x:c r="B205" s="12" t="str">
        <x:v>920438</x:v>
      </x:c>
      <x:c r="C205" s="12" t="str">
        <x:v>戈碧迦</x:v>
      </x:c>
      <x:c r="D205" s="12" t="str">
        <x:v>股权快照</x:v>
      </x:c>
      <x:c r="E205" s="12" t="n">
        <x:v>48</x:v>
      </x:c>
      <x:c r="F205" s="12" t="str">
        <x:v>持股比例</x:v>
      </x:c>
      <x:c r="G205" s="12" t="str">
        <x:v>2023 年 12 月 31 日</x:v>
      </x:c>
      <x:c r="H205" s="12" t="str">
        <x:v>1,360 万元</x:v>
      </x:c>
      <x:c r="I205" s="12" t="str"/>
      <x:c r="J205" s="12" t="str">
        <x:v>85.71%</x:v>
      </x:c>
      <x:c r="K205" s="12" t="str">
        <x:v>高</x:v>
      </x:c>
      <x:c r="L205" s="12" t="str">
        <x:v>保留为Auto候选</x:v>
      </x:c>
      <x:c r="M205" s="12" t="str">
        <x:v>1-47 最近一年主要财务数据（单位：万元） 日期 总资产 净资产 净利润 2023 年 12 月 31 日/2023 年度 70.00 70.00 - 注：最近一年财务数据未经审计。 截至本招股说明书签署日，秭归嘉鑫装饰工程有限公司的股权结构如下所示： 序号 股东名称 出资额（万元） 持股比例 1 虞国强 60.00 85.71% 2 鲁邦国 10....</x:v>
      </x:c>
    </x:row>
    <x:row r="206" ht="38" customHeight="1">
      <x:c r="A206" s="12" t="str">
        <x:v>W13-920438-016</x:v>
      </x:c>
      <x:c r="B206" s="12" t="str">
        <x:v>920438</x:v>
      </x:c>
      <x:c r="C206" s="12" t="str">
        <x:v>戈碧迦</x:v>
      </x:c>
      <x:c r="D206" s="12" t="str">
        <x:v>股权快照</x:v>
      </x:c>
      <x:c r="E206" s="12" t="n">
        <x:v>49</x:v>
      </x:c>
      <x:c r="F206" s="12" t="str">
        <x:v>持股比例</x:v>
      </x:c>
      <x:c r="G206" s="12" t="str">
        <x:v>2023 年 12 月 31 日</x:v>
      </x:c>
      <x:c r="H206" s="12" t="str">
        <x:v>50 万元</x:v>
      </x:c>
      <x:c r="I206" s="12" t="str"/>
      <x:c r="J206" s="12" t="str">
        <x:v>85.00%</x:v>
      </x:c>
      <x:c r="K206" s="12" t="str">
        <x:v>中</x:v>
      </x:c>
      <x:c r="L206" s="12" t="str">
        <x:v>保留为Auto候选</x:v>
      </x:c>
      <x:c r="M206" s="12" t="str">
        <x:v>最近一年主要财务数据（单位：万元） 日期 总资产 净资产 净利润 2023 年 12 月 31 日/2023 年度 26.05 -2.94 -2.94 注：最近一年财务数据未经审计。 截至本招股说明书签署日，秭归县梓怡物业管理有限公司的股权结构如下所示： 序号 股东名称 出资额（万元） 持股比例 1 虞国强 17.00 85.00% 2 鲁邦国 3.0...</x:v>
      </x:c>
    </x:row>
    <x:row r="207" ht="38" customHeight="1">
      <x:c r="A207" s="12" t="str">
        <x:v>W13-920438-017</x:v>
      </x:c>
      <x:c r="B207" s="12" t="str">
        <x:v>920438</x:v>
      </x:c>
      <x:c r="C207" s="12" t="str">
        <x:v>戈碧迦</x:v>
      </x:c>
      <x:c r="D207" s="12" t="str">
        <x:v>股权快照</x:v>
      </x:c>
      <x:c r="E207" s="12" t="n">
        <x:v>50</x:v>
      </x:c>
      <x:c r="F207" s="12" t="str">
        <x:v>持股比例</x:v>
      </x:c>
      <x:c r="G207" s="12" t="str">
        <x:v>2023 年 12 月 31 日</x:v>
      </x:c>
      <x:c r="H207" s="12" t="str"/>
      <x:c r="I207" s="12" t="str"/>
      <x:c r="J207" s="12" t="str">
        <x:v>75.00%</x:v>
      </x:c>
      <x:c r="K207" s="12" t="str">
        <x:v>中</x:v>
      </x:c>
      <x:c r="L207" s="12" t="str">
        <x:v>保留为Auto候选</x:v>
      </x:c>
      <x:c r="M207" s="12" t="str">
        <x:v>一年主要财务数据（单位：万元） 日期 总资产 净资产 净利润 2023 年 12 月 31 日/2023 年度 2,021.93 154.29 -37.50 注：最近一年财务数据未经审计。 截至本招股说明书签署日，浦江晶凯隆工贸有限公司的股权结构如下所示： 序号 股东名称 出资额（万元） 持股比例 1 虞顺积 13.50 75.00% 2 吴其洪 4....</x:v>
      </x:c>
    </x:row>
    <x:row r="208" ht="38" customHeight="1">
      <x:c r="A208" s="12" t="str">
        <x:v>W13-920438-018</x:v>
      </x:c>
      <x:c r="B208" s="12" t="str">
        <x:v>920438</x:v>
      </x:c>
      <x:c r="C208" s="12" t="str">
        <x:v>戈碧迦</x:v>
      </x:c>
      <x:c r="D208" s="12" t="str">
        <x:v>基金备案</x:v>
      </x:c>
      <x:c r="E208" s="12" t="n">
        <x:v>28</x:v>
      </x:c>
      <x:c r="F208" s="12" t="str">
        <x:v>备案号</x:v>
      </x:c>
      <x:c r="G208" s="12" t="str"/>
      <x:c r="H208" s="12" t="str"/>
      <x:c r="I208" s="12" t="str">
        <x:v>2,300.00 万股</x:v>
      </x:c>
      <x:c r="J208" s="12" t="str"/>
      <x:c r="K208" s="12" t="str">
        <x:v>中</x:v>
      </x:c>
      <x:c r="L208" s="12" t="str">
        <x:v>保留为Auto候选</x:v>
      </x:c>
      <x:c r="M208" s="12" t="str">
        <x:v>情况 下）人民币普通股，本次实际公开发行 2,300.00 万股（全额行使本次股票发行的超额 配售选择权的情况下）人民币普通股 ，其中本次公开发行新股的募集资金扣除发行费 用后，拟投资于以下项目： 单位：万元 项目名称 项目 总投资 募集资金 投入额 建设期 项目备案证号 环保批复文号/ 备案号 特种高清成像 光学玻璃材料 扩产项目 21,841.23...</x:v>
      </x:c>
    </x:row>
    <x:row r="209" ht="38" customHeight="1">
      <x:c r="A209" s="12" t="str">
        <x:v>W13-920438-019</x:v>
      </x:c>
      <x:c r="B209" s="12" t="str">
        <x:v>920438</x:v>
      </x:c>
      <x:c r="C209" s="12" t="str">
        <x:v>戈碧迦</x:v>
      </x:c>
      <x:c r="D209" s="12" t="str">
        <x:v>特殊投资条款</x:v>
      </x:c>
      <x:c r="E209" s="12" t="n">
        <x:v>57</x:v>
      </x:c>
      <x:c r="F209" s="12" t="str">
        <x:v>特殊投资约定</x:v>
      </x:c>
      <x:c r="G209" s="12" t="str">
        <x:v>2021 年 11 月</x:v>
      </x:c>
      <x:c r="H209" s="12" t="str">
        <x:v>30,000,000 元</x:v>
      </x:c>
      <x:c r="I209" s="12" t="str"/>
      <x:c r="J209" s="12" t="str">
        <x:v>100.00%</x:v>
      </x:c>
      <x:c r="K209" s="12" t="str">
        <x:v>中</x:v>
      </x:c>
      <x:c r="L209" s="12" t="str">
        <x:v>保留为Auto候选</x:v>
      </x:c>
      <x:c r="M209" s="12" t="str">
        <x:v>控制人和张小瑞（已退休）外，均为与发行 人签订劳动合同或劳务合同并领取薪酬的员工，包括董事（不包含独立董事） 、监事、 管理人员及员工，不存在外部股东。 3、员工持股平台不存在纠纷或潜在纠纷 桐碧迦合伙人持有的合伙企业出资权属清晰，不存在纠纷及潜在纠纷。 （三）发行人控股股东、实际控制人签署的特殊投资约定事项 截至本招股说明书签署日，不存在发行人控股股...</x:v>
      </x:c>
    </x:row>
    <x:row r="210" ht="38" customHeight="1">
      <x:c r="A210" s="12" t="str">
        <x:v>W13-920016-001</x:v>
      </x:c>
      <x:c r="B210" s="12" t="str">
        <x:v>920016</x:v>
      </x:c>
      <x:c r="C210" s="12" t="str">
        <x:v>中草香料</x:v>
      </x:c>
      <x:c r="D210" s="12" t="str">
        <x:v>增资认缴</x:v>
      </x:c>
      <x:c r="E210" s="12" t="n">
        <x:v>38</x:v>
      </x:c>
      <x:c r="F210" s="12" t="str">
        <x:v>定向发行</x:v>
      </x:c>
      <x:c r="G210" s="12" t="str">
        <x:v>2021 年 1 月 25 日</x:v>
      </x:c>
      <x:c r="H210" s="12" t="str">
        <x:v>2,008,860.40 元</x:v>
      </x:c>
      <x:c r="I210" s="12" t="str"/>
      <x:c r="J210" s="12" t="str"/>
      <x:c r="K210" s="12" t="str">
        <x:v>高</x:v>
      </x:c>
      <x:c r="L210" s="12" t="str">
        <x:v>保留为Auto候选</x:v>
      </x:c>
      <x:c r="M210" s="12" t="str">
        <x:v>1-1-38 （一）股权激励事项 公司 2021 年 1 月 25 日召开 2021 年第一次临时股东大会，审议通过了中草香料 2021 年度第一次股票定向发行方案及相关议案， 具体情况详见本节“二、 发行人挂牌期间的基本 情况”之“（五）报告期内发行融资情况”之“1、挂牌后第一次定增”。除股东怀远县中 小企业融资担保有限公司外， 公司原股东及核心员工...</x:v>
      </x:c>
    </x:row>
    <x:row r="211" ht="38" customHeight="1">
      <x:c r="A211" s="12" t="str">
        <x:v>W13-920016-002</x:v>
      </x:c>
      <x:c r="B211" s="12" t="str">
        <x:v>920016</x:v>
      </x:c>
      <x:c r="C211" s="12" t="str">
        <x:v>中草香料</x:v>
      </x:c>
      <x:c r="D211" s="12" t="str">
        <x:v>增资认缴</x:v>
      </x:c>
      <x:c r="E211" s="12" t="n">
        <x:v>32</x:v>
      </x:c>
      <x:c r="F211" s="12" t="str">
        <x:v>定向发行</x:v>
      </x:c>
      <x:c r="G211" s="12" t="str">
        <x:v>2021 年 2 月 18 日</x:v>
      </x:c>
      <x:c r="H211" s="12" t="str">
        <x:v>6.98 元</x:v>
      </x:c>
      <x:c r="I211" s="12" t="str">
        <x:v>995.00 万股</x:v>
      </x:c>
      <x:c r="J211" s="12" t="str"/>
      <x:c r="K211" s="12" t="str">
        <x:v>中</x:v>
      </x:c>
      <x:c r="L211" s="12" t="str">
        <x:v>保留为Auto候选</x:v>
      </x:c>
      <x:c r="M211" s="12" t="str">
        <x:v>00.00 货币 16 胡杰 100,000 200,000.00 货币 17 叶兵 100,000 200,000.00 货币 合计 9,950,000 19,900,000.00 - 全国中小企业股份转让系统于 2021 年 2 月 18 日出具了 《关于对安徽中草香料股份有限 公司股票定向发行无异议的函》（股转系统函[2021]340 号），本次...</x:v>
      </x:c>
    </x:row>
    <x:row r="212" ht="38" customHeight="1">
      <x:c r="A212" s="12" t="str">
        <x:v>W13-920016-003</x:v>
      </x:c>
      <x:c r="B212" s="12" t="str">
        <x:v>920016</x:v>
      </x:c>
      <x:c r="C212" s="12" t="str">
        <x:v>中草香料</x:v>
      </x:c>
      <x:c r="D212" s="12" t="str">
        <x:v>增资认缴</x:v>
      </x:c>
      <x:c r="E212" s="12" t="n">
        <x:v>42</x:v>
      </x:c>
      <x:c r="F212" s="12" t="str">
        <x:v>认购</x:v>
      </x:c>
      <x:c r="G212" s="12" t="str">
        <x:v>2022 年 4 月 12 日</x:v>
      </x:c>
      <x:c r="H212" s="12" t="str"/>
      <x:c r="I212" s="12" t="str"/>
      <x:c r="J212" s="12" t="str"/>
      <x:c r="K212" s="12" t="str">
        <x:v>中</x:v>
      </x:c>
      <x:c r="L212" s="12" t="str">
        <x:v>保留为Auto候选</x:v>
      </x:c>
      <x:c r="M212" s="12" t="str">
        <x:v>的所有权利 和利益，同时协助甲方办理相应的股份转让手续。” 3、与铜陵高投毅达专精特新创业投资基金合伙企业（有限合伙）签订的补充协议 2022 年 4 月 12 日，铜陵高投毅达专精特新创业投资基金合伙企业（有限合伙）（简称 “投资方”、“高投毅达”）与李莉签订《关于安徽中草香料股份有限公司股份认购协议之 补充协议》。2022 年 4 月 20 日，高...</x:v>
      </x:c>
    </x:row>
    <x:row r="213" ht="38" customHeight="1">
      <x:c r="A213" s="12" t="str">
        <x:v>W13-920016-004</x:v>
      </x:c>
      <x:c r="B213" s="12" t="str">
        <x:v>920016</x:v>
      </x:c>
      <x:c r="C213" s="12" t="str">
        <x:v>中草香料</x:v>
      </x:c>
      <x:c r="D213" s="12" t="str">
        <x:v>增资认缴</x:v>
      </x:c>
      <x:c r="E213" s="12" t="n">
        <x:v>16</x:v>
      </x:c>
      <x:c r="F213" s="12" t="str">
        <x:v>认购</x:v>
      </x:c>
      <x:c r="G213" s="12" t="str"/>
      <x:c r="H213" s="12" t="str"/>
      <x:c r="I213" s="12" t="str">
        <x:v>299.00 万股</x:v>
      </x:c>
      <x:c r="J213" s="12" t="str">
        <x:v>20.00%</x:v>
      </x:c>
      <x:c r="K213" s="12" t="str">
        <x:v>中</x:v>
      </x:c>
      <x:c r="L213" s="12" t="str">
        <x:v>保留为Auto候选</x:v>
      </x:c>
      <x:c r="M213" s="12" t="str">
        <x:v>配售股份限售期均为 12 个月， 限售期自本次公开发行的股票在北交所上市之日起开 始计算。 发行方式 本次发行采用向战略投资者定向配售和网上向开通北 交所交易权限的合格投资者定价发行相结合的方式进 行 发行对象 已开通北京证券交易所上市公司股票交易权限的合格 投资者，法律、法规和规范性文件禁止认购的除外。 战略配售情况 本次发行战略配售发行数量为 29...</x:v>
      </x:c>
    </x:row>
    <x:row r="214" ht="38" customHeight="1">
      <x:c r="A214" s="12" t="str">
        <x:v>W13-920016-005</x:v>
      </x:c>
      <x:c r="B214" s="12" t="str">
        <x:v>920016</x:v>
      </x:c>
      <x:c r="C214" s="12" t="str">
        <x:v>中草香料</x:v>
      </x:c>
      <x:c r="D214" s="12" t="str">
        <x:v>增资认缴</x:v>
      </x:c>
      <x:c r="E214" s="12" t="n">
        <x:v>31</x:v>
      </x:c>
      <x:c r="F214" s="12" t="str">
        <x:v>定向发行</x:v>
      </x:c>
      <x:c r="G214" s="12" t="str">
        <x:v>2018 年 1 月 15 日</x:v>
      </x:c>
      <x:c r="H214" s="12" t="str">
        <x:v>2.00 元</x:v>
      </x:c>
      <x:c r="I214" s="12" t="str">
        <x:v>995 万股</x:v>
      </x:c>
      <x:c r="J214" s="12" t="str"/>
      <x:c r="K214" s="12" t="str">
        <x:v>中</x:v>
      </x:c>
      <x:c r="L214" s="12" t="str">
        <x:v>保留为Auto候选</x:v>
      </x:c>
      <x:c r="M214" s="12" t="str">
        <x:v>方式为协议转让。 2018 年 1 月 15 日，根据《全国中小企业股份转让系统股票转让方式确定及变更指引》 的规定，公司股票交易方式由协议转让方式变更为集合竞价转让方式。 截至本招股说明书签署日，公司股票转让方式为集合竞价交易方式。 （八） 报告期内发行融资情况 报告期内，公司存在两次定向发行股票融资的情形，具体情况如下： 1、挂牌后第一次定增 公司...</x:v>
      </x:c>
    </x:row>
    <x:row r="215" ht="38" customHeight="1">
      <x:c r="A215" s="12" t="str">
        <x:v>W13-920016-006</x:v>
      </x:c>
      <x:c r="B215" s="12" t="str">
        <x:v>920016</x:v>
      </x:c>
      <x:c r="C215" s="12" t="str">
        <x:v>中草香料</x:v>
      </x:c>
      <x:c r="D215" s="12" t="str">
        <x:v>增资认缴</x:v>
      </x:c>
      <x:c r="E215" s="12" t="n">
        <x:v>46</x:v>
      </x:c>
      <x:c r="F215" s="12" t="str">
        <x:v>认购</x:v>
      </x:c>
      <x:c r="G215" s="12" t="str">
        <x:v>2022 年 4 月 12 日</x:v>
      </x:c>
      <x:c r="H215" s="12" t="str"/>
      <x:c r="I215" s="12" t="str">
        <x:v>1.1 股</x:v>
      </x:c>
      <x:c r="J215" s="12" t="str">
        <x:v>8%</x:v>
      </x:c>
      <x:c r="K215" s="12" t="str">
        <x:v>高</x:v>
      </x:c>
      <x:c r="L215" s="12" t="str">
        <x:v>保留为Auto候选</x:v>
      </x:c>
      <x:c r="M215" s="12" t="str">
        <x:v>1-1-46 持不变，实际控制人应投有效赞成票并签署相关决议等文件保证股权转让的实现。” 4、与陈颖签订的补充协议 2022 年 4 月 12 日，陈颖（甲方）与李莉（乙方）签订股份认购协议之补充协议。主要 条款如下： “1.甲方的权利 1.1 股权回购 1.1.1 当出现下列事项时， 甲方有权要求乙方按年单利8%回购甲方持有的公司全部或部 分股权： ...</x:v>
      </x:c>
    </x:row>
    <x:row r="216" ht="38" customHeight="1">
      <x:c r="A216" s="12" t="str">
        <x:v>W13-920016-007</x:v>
      </x:c>
      <x:c r="B216" s="12" t="str">
        <x:v>920016</x:v>
      </x:c>
      <x:c r="C216" s="12" t="str">
        <x:v>中草香料</x:v>
      </x:c>
      <x:c r="D216" s="12" t="str">
        <x:v>增资认缴</x:v>
      </x:c>
      <x:c r="E216" s="12" t="n">
        <x:v>40</x:v>
      </x:c>
      <x:c r="F216" s="12" t="str">
        <x:v>认购</x:v>
      </x:c>
      <x:c r="G216" s="12" t="str">
        <x:v>2022 年 4 月 12 日</x:v>
      </x:c>
      <x:c r="H216" s="12" t="str">
        <x:v>人民币 3,800 万元</x:v>
      </x:c>
      <x:c r="I216" s="12" t="str"/>
      <x:c r="J216" s="12" t="str"/>
      <x:c r="K216" s="12" t="str">
        <x:v>高</x:v>
      </x:c>
      <x:c r="L216" s="12" t="str">
        <x:v>保留为Auto候选</x:v>
      </x:c>
      <x:c r="M216" s="12" t="str">
        <x:v>本协议所享有 的所有权利和利 益，同时协助甲方办理相应的股份转让手续。” 2、与蚌埠市天使投资基金（有限合伙）签订的补充协议 2022 年 4 月 12 日， 蚌埠市天使投资基金 （有限合伙） （甲方） 与李莉 （乙方） 签订 《关 于安徽中草香料股份有限公司与蚌埠市天使投资基金（有限合伙）股份认购协议之补充协 议》，主要内容如下： “1.业绩承诺 1...</x:v>
      </x:c>
    </x:row>
    <x:row r="217" ht="38" customHeight="1">
      <x:c r="A217" s="12" t="str">
        <x:v>W13-920016-008</x:v>
      </x:c>
      <x:c r="B217" s="12" t="str">
        <x:v>920016</x:v>
      </x:c>
      <x:c r="C217" s="12" t="str">
        <x:v>中草香料</x:v>
      </x:c>
      <x:c r="D217" s="12" t="str">
        <x:v>增资认缴</x:v>
      </x:c>
      <x:c r="E217" s="12" t="n">
        <x:v>28</x:v>
      </x:c>
      <x:c r="F217" s="12" t="str">
        <x:v>认购</x:v>
      </x:c>
      <x:c r="G217" s="12" t="str"/>
      <x:c r="H217" s="12" t="str"/>
      <x:c r="I217" s="12" t="str"/>
      <x:c r="J217" s="12" t="str"/>
      <x:c r="K217" s="12" t="str">
        <x:v>低</x:v>
      </x:c>
      <x:c r="L217" s="12" t="str">
        <x:v>保留为Auto候选</x:v>
      </x:c>
      <x:c r="M217" s="12" t="str">
        <x:v>、 重要人事安排等进行不当控制， 从而存在给公司的生 产经营及其他股东的利益带来损失的可能。 五、发行失败风险 本次向不特定合格投资者公开发行股票并在北交所上市， 公司新股估值定价结果受到公 司业务与财务状况等内在因素以及市场流动性、 投资者偏好、 新股供给情况等外部因素的影 响。若公司发行新股认购不足，则会存在发行失败的风险。</x:v>
      </x:c>
    </x:row>
    <x:row r="218" ht="38" customHeight="1">
      <x:c r="A218" s="12" t="str">
        <x:v>W13-920016-009</x:v>
      </x:c>
      <x:c r="B218" s="12" t="str">
        <x:v>920016</x:v>
      </x:c>
      <x:c r="C218" s="12" t="str">
        <x:v>中草香料</x:v>
      </x:c>
      <x:c r="D218" s="12" t="str">
        <x:v>股权转让</x:v>
      </x:c>
      <x:c r="E218" s="12" t="n">
        <x:v>32</x:v>
      </x:c>
      <x:c r="F218" s="12" t="str">
        <x:v>股份转让</x:v>
      </x:c>
      <x:c r="G218" s="12" t="str">
        <x:v>2021 年 2 月 18 日</x:v>
      </x:c>
      <x:c r="H218" s="12" t="str">
        <x:v>6.98 元</x:v>
      </x:c>
      <x:c r="I218" s="12" t="str">
        <x:v>995.00 万股</x:v>
      </x:c>
      <x:c r="J218" s="12" t="str"/>
      <x:c r="K218" s="12" t="str">
        <x:v>低</x:v>
      </x:c>
      <x:c r="L218" s="12" t="str">
        <x:v>排除为转让系统语境</x:v>
      </x:c>
      <x:c r="M218" s="12" t="str">
        <x:v>方润 100,000 200,000.00 货币 15 李雷 100,000 200,000.00 货币 16 胡杰 100,000 200,000.00 货币 17 叶兵 100,000 200,000.00 货币 合计 9,950,000 19,900,000.00 - 全国中小企业股份转让系统于 2021 年 2 月 18 日出具了 《关于对安徽...</x:v>
      </x:c>
    </x:row>
    <x:row r="219" ht="38" customHeight="1">
      <x:c r="A219" s="12" t="str">
        <x:v>W13-920016-010</x:v>
      </x:c>
      <x:c r="B219" s="12" t="str">
        <x:v>920016</x:v>
      </x:c>
      <x:c r="C219" s="12" t="str">
        <x:v>中草香料</x:v>
      </x:c>
      <x:c r="D219" s="12" t="str">
        <x:v>股权转让</x:v>
      </x:c>
      <x:c r="E219" s="12" t="n">
        <x:v>42</x:v>
      </x:c>
      <x:c r="F219" s="12" t="str">
        <x:v>受让</x:v>
      </x:c>
      <x:c r="G219" s="12" t="str">
        <x:v>2022 年 4 月 12 日</x:v>
      </x:c>
      <x:c r="H219" s="12" t="str"/>
      <x:c r="I219" s="12" t="str"/>
      <x:c r="J219" s="12" t="str">
        <x:v>8%</x:v>
      </x:c>
      <x:c r="K219" s="12" t="str">
        <x:v>中</x:v>
      </x:c>
      <x:c r="L219" s="12" t="str">
        <x:v>保留为Auto候选</x:v>
      </x:c>
      <x:c r="M219" s="12" t="str">
        <x:v>1-1-42 公司不存在同业竞争关系。 若该第三方拒绝受让甲方持有的股份，则“股份出售方”也不能出售其持有的股份。 3.3 优先于乙方的清算权 3.3.1 乙方确认并承诺，公司进行清算时，甲方有权优于乙方获得其全部投资本金及投 资期间的基本收益 （基本收益=投资款本金×8%×投资款到账之日 （含） 至回购价款支付之 日（不含）的天数÷365）。在甲方获...</x:v>
      </x:c>
    </x:row>
    <x:row r="220" ht="38" customHeight="1">
      <x:c r="A220" s="12" t="str">
        <x:v>W13-920016-011</x:v>
      </x:c>
      <x:c r="B220" s="12" t="str">
        <x:v>920016</x:v>
      </x:c>
      <x:c r="C220" s="12" t="str">
        <x:v>中草香料</x:v>
      </x:c>
      <x:c r="D220" s="12" t="str">
        <x:v>股权转让</x:v>
      </x:c>
      <x:c r="E220" s="12" t="n">
        <x:v>31</x:v>
      </x:c>
      <x:c r="F220" s="12" t="str">
        <x:v>股份转让</x:v>
      </x:c>
      <x:c r="G220" s="12" t="str">
        <x:v>2017 年 2 月 22 日</x:v>
      </x:c>
      <x:c r="H220" s="12" t="str">
        <x:v>2.00 元</x:v>
      </x:c>
      <x:c r="I220" s="12" t="str">
        <x:v>995 万股</x:v>
      </x:c>
      <x:c r="J220" s="12" t="str"/>
      <x:c r="K220" s="12" t="str">
        <x:v>中</x:v>
      </x:c>
      <x:c r="L220" s="12" t="str">
        <x:v>保留为Auto候选</x:v>
      </x:c>
      <x:c r="M220" s="12" t="str">
        <x:v>》 ， 公司2023 年度及 2024 年半年度 （如需） 审计机构为中汇会计师事务所 （特殊普通合伙）。 （七） 股票交易方式及其变更情况 公司股票自 2017 年 2 月 22 日起在全国股转系统挂牌并公开转让， 转让方式为协议转让。 2018 年 1 月 15 日，根据《全国中小企业股份转让系统股票转让方式确定及变更指引》 的规定，公司股票交易方...</x:v>
      </x:c>
    </x:row>
    <x:row r="221" ht="38" customHeight="1">
      <x:c r="A221" s="12" t="str">
        <x:v>W13-920016-012</x:v>
      </x:c>
      <x:c r="B221" s="12" t="str">
        <x:v>920016</x:v>
      </x:c>
      <x:c r="C221" s="12" t="str">
        <x:v>中草香料</x:v>
      </x:c>
      <x:c r="D221" s="12" t="str">
        <x:v>股权转让</x:v>
      </x:c>
      <x:c r="E221" s="12" t="n">
        <x:v>46</x:v>
      </x:c>
      <x:c r="F221" s="12" t="str">
        <x:v>股权转让</x:v>
      </x:c>
      <x:c r="G221" s="12" t="str">
        <x:v>2022 年 4 月 12 日</x:v>
      </x:c>
      <x:c r="H221" s="12" t="str"/>
      <x:c r="I221" s="12" t="str">
        <x:v>1.1 股</x:v>
      </x:c>
      <x:c r="J221" s="12" t="str">
        <x:v>8%</x:v>
      </x:c>
      <x:c r="K221" s="12" t="str">
        <x:v>高</x:v>
      </x:c>
      <x:c r="L221" s="12" t="str">
        <x:v>保留为Auto候选</x:v>
      </x:c>
      <x:c r="M221" s="12" t="str">
        <x:v>1-1-46 持不变，实际控制人应投有效赞成票并签署相关决议等文件保证股权转让的实现。” 4、与陈颖签订的补充协议 2022 年 4 月 12 日，陈颖（甲方）与李莉（乙方）签订股份认购协议之补充协议。主要 条款如下： “1.甲方的权利 1.1 股权回购 1.1.1 当出现下列事项时， 甲方有权要求乙方按年单利8%回购甲方持有的公司全部或部 分股权： ...</x:v>
      </x:c>
    </x:row>
    <x:row r="222" ht="38" customHeight="1">
      <x:c r="A222" s="12" t="str">
        <x:v>W13-920016-013</x:v>
      </x:c>
      <x:c r="B222" s="12" t="str">
        <x:v>920016</x:v>
      </x:c>
      <x:c r="C222" s="12" t="str">
        <x:v>中草香料</x:v>
      </x:c>
      <x:c r="D222" s="12" t="str">
        <x:v>股权转让</x:v>
      </x:c>
      <x:c r="E222" s="12" t="n">
        <x:v>43</x:v>
      </x:c>
      <x:c r="F222" s="12" t="str">
        <x:v>受让</x:v>
      </x:c>
      <x:c r="G222" s="12" t="str">
        <x:v>2026 年 12 月 31 日</x:v>
      </x:c>
      <x:c r="H222" s="12" t="str">
        <x:v>3,800 万元</x:v>
      </x:c>
      <x:c r="I222" s="12" t="str">
        <x:v>3.2 股</x:v>
      </x:c>
      <x:c r="J222" s="12" t="str">
        <x:v>8%</x:v>
      </x:c>
      <x:c r="K222" s="12" t="str">
        <x:v>中</x:v>
      </x:c>
      <x:c r="L222" s="12" t="str">
        <x:v>保留为Auto候选</x:v>
      </x:c>
      <x:c r="M222" s="12" t="str">
        <x:v>1-1-43 资方所持股权。 3.2 股权赎回 3.2.1 本次投资法定登记完成之日起，如发生下列情形之一，则投资方有权要求实际控 制人购买其股权，并按下述 3.2.2 条受让价格和 3.2.3 条支付时间执行： （1）公司或实际控制人违反本协议陈述保证事项或出现欺诈等重大诚信问题（如向投 资方提供的财务资料等相关信息存在虚假或重大遗漏情形，或公司出现...</x:v>
      </x:c>
    </x:row>
    <x:row r="223" ht="38" customHeight="1">
      <x:c r="A223" s="12" t="str">
        <x:v>W13-920016-014</x:v>
      </x:c>
      <x:c r="B223" s="12" t="str">
        <x:v>920016</x:v>
      </x:c>
      <x:c r="C223" s="12" t="str">
        <x:v>中草香料</x:v>
      </x:c>
      <x:c r="D223" s="12" t="str">
        <x:v>股权转让</x:v>
      </x:c>
      <x:c r="E223" s="12" t="n">
        <x:v>40</x:v>
      </x:c>
      <x:c r="F223" s="12" t="str">
        <x:v>受让</x:v>
      </x:c>
      <x:c r="G223" s="12" t="str">
        <x:v>2022 年 4 月 12 日</x:v>
      </x:c>
      <x:c r="H223" s="12" t="str"/>
      <x:c r="I223" s="12" t="str"/>
      <x:c r="J223" s="12" t="str">
        <x:v>8%</x:v>
      </x:c>
      <x:c r="K223" s="12" t="str">
        <x:v>中</x:v>
      </x:c>
      <x:c r="L223" s="12" t="str">
        <x:v>保留为Auto候选</x:v>
      </x:c>
      <x:c r="M223" s="12" t="str">
        <x:v>1-1-40 权优先于“股份出售方”以相同的条件 （指每股单价和支付方式） 向该第三方出售甲方持有 的全部或部分公司股份，但向下列受让人转让的除外： （1）合格的股权激励计划的激励对象；或 （2）经投资人事先书面同意的、且经董事会或股东会表决通过的重组行为中向公司股 东发行股份购买资产的上市公司；或 （3）实际控制人或控股股东控制的关联第三方，但须经投...</x:v>
      </x:c>
    </x:row>
    <x:row r="224" ht="38" customHeight="1">
      <x:c r="A224" s="12" t="str">
        <x:v>W13-920016-015</x:v>
      </x:c>
      <x:c r="B224" s="12" t="str">
        <x:v>920016</x:v>
      </x:c>
      <x:c r="C224" s="12" t="str">
        <x:v>中草香料</x:v>
      </x:c>
      <x:c r="D224" s="12" t="str">
        <x:v>股权转让</x:v>
      </x:c>
      <x:c r="E224" s="12" t="n">
        <x:v>41</x:v>
      </x:c>
      <x:c r="F224" s="12" t="str">
        <x:v>股权转让</x:v>
      </x:c>
      <x:c r="G224" s="12" t="str"/>
      <x:c r="H224" s="12" t="str"/>
      <x:c r="I224" s="12" t="str"/>
      <x:c r="J224" s="12" t="str">
        <x:v>8%</x:v>
      </x:c>
      <x:c r="K224" s="12" t="str">
        <x:v>低</x:v>
      </x:c>
      <x:c r="L224" s="12" t="str">
        <x:v>保留为Auto候选</x:v>
      </x:c>
      <x:c r="M224" s="12" t="str">
        <x:v>II）公司实际控制人发生转移。 （Ⅳ） 公司、 公司原股东或公司管理层出现重大诚信问题， 如： 公司出现投资方不知情 的财产转移、高管同业兼职、未经审批的重大关联交易等。 3.1.2 在达到回购的条件后，甲方有权要求乙方在收到“股权回购”的书面通知当日起 120 日内付清全部回购款项，配合相关的股权转让事宜并及时以现金形式支付股权回购款 项，按如下方式...</x:v>
      </x:c>
    </x:row>
    <x:row r="225" ht="38" customHeight="1">
      <x:c r="A225" s="12" t="str">
        <x:v>W13-920016-016</x:v>
      </x:c>
      <x:c r="B225" s="12" t="str">
        <x:v>920016</x:v>
      </x:c>
      <x:c r="C225" s="12" t="str">
        <x:v>中草香料</x:v>
      </x:c>
      <x:c r="D225" s="12" t="str">
        <x:v>股权转让</x:v>
      </x:c>
      <x:c r="E225" s="12" t="n">
        <x:v>10</x:v>
      </x:c>
      <x:c r="F225" s="12" t="str">
        <x:v>股份转让</x:v>
      </x:c>
      <x:c r="G225" s="12" t="str">
        <x:v>2022 年 5 月 7 日</x:v>
      </x:c>
      <x:c r="H225" s="12" t="str"/>
      <x:c r="I225" s="12" t="str"/>
      <x:c r="J225" s="12" t="str">
        <x:v>5%</x:v>
      </x:c>
      <x:c r="K225" s="12" t="str">
        <x:v>低</x:v>
      </x:c>
      <x:c r="L225" s="12" t="str">
        <x:v>排除为转让系统语境</x:v>
      </x:c>
      <x:c r="M225" s="12" t="str">
        <x:v>021 年 2 月 18 日注 销 贝利化工 指 怀远县贝利化工商贸有限公司， 发行人前员工何青实际 控制的企业，已于 2022 年 5 月 7 日注销 安徽仙奇 指 安徽仙奇生物工程技术有限公司，发行人持股 5%以上 的其他股东、董事、副总经理李淑清控制的公司 公司治理规则 指 全国中小企业股份转让系统挂牌公司治理规则 REACH 指 欧盟法规《化学...</x:v>
      </x:c>
    </x:row>
    <x:row r="226" ht="38" customHeight="1">
      <x:c r="A226" s="12" t="str">
        <x:v>W13-920016-017</x:v>
      </x:c>
      <x:c r="B226" s="12" t="str">
        <x:v>920016</x:v>
      </x:c>
      <x:c r="C226" s="12" t="str">
        <x:v>中草香料</x:v>
      </x:c>
      <x:c r="D226" s="12" t="str">
        <x:v>股权快照</x:v>
      </x:c>
      <x:c r="E226" s="12" t="n">
        <x:v>41</x:v>
      </x:c>
      <x:c r="F226" s="12" t="str">
        <x:v>持股比例</x:v>
      </x:c>
      <x:c r="G226" s="12" t="str"/>
      <x:c r="H226" s="12" t="str"/>
      <x:c r="I226" s="12" t="str"/>
      <x:c r="J226" s="12" t="str"/>
      <x:c r="K226" s="12" t="str">
        <x:v>低</x:v>
      </x:c>
      <x:c r="L226" s="12" t="str">
        <x:v>保留为Auto候选</x:v>
      </x:c>
      <x:c r="M226" s="12" t="str">
        <x:v>直至乙方支付完全部回购价款。 3.2 共同出售权及优先出售权 3.2.1 乙方（简称“股份出售方”）拟向第三方出售其所直接或间接持有的公司股份时 （除员工股权激励外）必须首先提前 30 个工作日书面通知甲方。甲方有权按照相同的出售 条件（指每股单价和支付方式），根据届时其和“股份出售方”对公司的持股比例同比例向 该第三方出售其持有的公司股份。 3.2....</x:v>
      </x:c>
    </x:row>
    <x:row r="227" ht="38" customHeight="1">
      <x:c r="A227" s="12" t="str">
        <x:v>W13-920016-018</x:v>
      </x:c>
      <x:c r="B227" s="12" t="str">
        <x:v>920016</x:v>
      </x:c>
      <x:c r="C227" s="12" t="str">
        <x:v>中草香料</x:v>
      </x:c>
      <x:c r="D227" s="12" t="str">
        <x:v>股权快照</x:v>
      </x:c>
      <x:c r="E227" s="12" t="n">
        <x:v>36</x:v>
      </x:c>
      <x:c r="F227" s="12" t="str">
        <x:v>持股数量</x:v>
      </x:c>
      <x:c r="G227" s="12" t="str">
        <x:v>2023 年 12 月 31 日</x:v>
      </x:c>
      <x:c r="H227" s="12" t="str"/>
      <x:c r="I227" s="12" t="str">
        <x:v>1,726,129 股</x:v>
      </x:c>
      <x:c r="J227" s="12" t="str">
        <x:v>2.89%</x:v>
      </x:c>
      <x:c r="K227" s="12" t="str">
        <x:v>高</x:v>
      </x:c>
      <x:c r="L227" s="12" t="str">
        <x:v>保留为Auto候选</x:v>
      </x:c>
      <x:c r="M227" s="12" t="str">
        <x:v>关联关系描述 1 李莉 - 2 亿达康 李莉为执行事务合伙人 （四） 其他披露事项 1、私募基金 根据中国证券登记结算有限责任公司北京分公司提供的截至 2023 年 12 月 31 日的发行 人证券持有人名册，发行人共有 3 名私募基金股东，其基本情况如下： 序号 股东 基金管理人 持股数量 （万股） 私募基金备 案编号 基金管理人 登记编号 1 蚌埠...</x:v>
      </x:c>
    </x:row>
    <x:row r="228" ht="38" customHeight="1">
      <x:c r="A228" s="12" t="str">
        <x:v>W13-920016-019</x:v>
      </x:c>
      <x:c r="B228" s="12" t="str">
        <x:v>920016</x:v>
      </x:c>
      <x:c r="C228" s="12" t="str">
        <x:v>中草香料</x:v>
      </x:c>
      <x:c r="D228" s="12" t="str">
        <x:v>股权快照</x:v>
      </x:c>
      <x:c r="E228" s="12" t="n">
        <x:v>39</x:v>
      </x:c>
      <x:c r="F228" s="12" t="str">
        <x:v>持股比例</x:v>
      </x:c>
      <x:c r="G228" s="12" t="str"/>
      <x:c r="H228" s="12" t="str"/>
      <x:c r="I228" s="12" t="str"/>
      <x:c r="J228" s="12" t="str"/>
      <x:c r="K228" s="12" t="str">
        <x:v>低</x:v>
      </x:c>
      <x:c r="L228" s="12" t="str">
        <x:v>保留为Auto候选</x:v>
      </x:c>
      <x:c r="M228" s="12" t="str">
        <x:v>合提供其他重大生产经营相关信息。 4.2 共同出售权及优先出售权 乙方（简称“股份出售方”）拟向第三方出售其所直接或间接持有的公司股份时（除员 工股权激励外） 必须首先提前30 个工作日书面通知甲方。 甲方有权按照相同的出售条件 （指 每股单价和支付方式） ， 根据届时其和“股份出售方”对公司的持股比例同比例向该第三方 出售其持有的公司股份。 “股份出...</x:v>
      </x:c>
    </x:row>
    <x:row r="229" ht="38" customHeight="1">
      <x:c r="A229" s="12" t="str">
        <x:v>W13-920016-020</x:v>
      </x:c>
      <x:c r="B229" s="12" t="str">
        <x:v>920016</x:v>
      </x:c>
      <x:c r="C229" s="12" t="str">
        <x:v>中草香料</x:v>
      </x:c>
      <x:c r="D229" s="12" t="str">
        <x:v>股权快照</x:v>
      </x:c>
      <x:c r="E229" s="12" t="n">
        <x:v>45</x:v>
      </x:c>
      <x:c r="F229" s="12" t="str">
        <x:v>持股比例</x:v>
      </x:c>
      <x:c r="G229" s="12" t="str">
        <x:v>2022 年 3 月 7 日</x:v>
      </x:c>
      <x:c r="H229" s="12" t="str"/>
      <x:c r="I229" s="12" t="str"/>
      <x:c r="J229" s="12" t="str"/>
      <x:c r="K229" s="12" t="str">
        <x:v>中</x:v>
      </x:c>
      <x:c r="L229" s="12" t="str">
        <x:v>保留为Auto候选</x:v>
      </x:c>
      <x:c r="M229" s="12" t="str">
        <x:v>决议、监事会会议决议、财务会计报告。 3.6 利润分配权 投资方自公司在取得全国中小企业股份转让系统有限责任公司股份登记函， 并在中国证 券登记结算有限责任公司办理完成股份登记之日起享有股东权利， 承担股东义务。 公司以前 年度累积未分配利润和投资后实现的净利润由本次投资后全体股东按本次投资后持股比例 共同享有。 投资方已知晓公司于 2022 年 3 ...</x:v>
      </x:c>
    </x:row>
    <x:row r="230" ht="38" customHeight="1">
      <x:c r="A230" s="12" t="str">
        <x:v>W13-920016-021</x:v>
      </x:c>
      <x:c r="B230" s="12" t="str">
        <x:v>920016</x:v>
      </x:c>
      <x:c r="C230" s="12" t="str">
        <x:v>中草香料</x:v>
      </x:c>
      <x:c r="D230" s="12" t="str">
        <x:v>股权快照</x:v>
      </x:c>
      <x:c r="E230" s="12" t="n">
        <x:v>5</x:v>
      </x:c>
      <x:c r="F230" s="12" t="str">
        <x:v>持股比例</x:v>
      </x:c>
      <x:c r="G230" s="12" t="str"/>
      <x:c r="H230" s="12" t="str"/>
      <x:c r="I230" s="12" t="str"/>
      <x:c r="J230" s="12" t="str">
        <x:v>88.21%</x:v>
      </x:c>
      <x:c r="K230" s="12" t="str">
        <x:v>低</x:v>
      </x:c>
      <x:c r="L230" s="12" t="str">
        <x:v>保留为Auto候选</x:v>
      </x:c>
      <x:c r="M230" s="12" t="str">
        <x:v>招股说明书“第四节 发行人基本情况”之“九、重要承诺”。 二、本次公开发行完成前滚存利润的分配安排和已履行的决策程序 公司 2022 年第六次临时股东大会通过了《关于公司向不特定合格投资者公开发行股票 前滚存利润分配政策的议案》 ， 本次公开发行股票完成后， 滚存的未分配利润将由公司新老 股东按持股比例共同享有。 三、重大风险提示 本公司特别提醒投资者...</x:v>
      </x:c>
    </x:row>
    <x:row r="231" ht="38" customHeight="1">
      <x:c r="A231" s="12" t="str">
        <x:v>W13-920016-022</x:v>
      </x:c>
      <x:c r="B231" s="12" t="str">
        <x:v>920016</x:v>
      </x:c>
      <x:c r="C231" s="12" t="str">
        <x:v>中草香料</x:v>
      </x:c>
      <x:c r="D231" s="12" t="str">
        <x:v>股权快照</x:v>
      </x:c>
      <x:c r="E231" s="12" t="n">
        <x:v>34</x:v>
      </x:c>
      <x:c r="F231" s="12" t="str">
        <x:v>股本结构</x:v>
      </x:c>
      <x:c r="G231" s="12" t="str"/>
      <x:c r="H231" s="12" t="str"/>
      <x:c r="I231" s="12" t="str">
        <x:v>59,789,429 股</x:v>
      </x:c>
      <x:c r="J231" s="12" t="str"/>
      <x:c r="K231" s="12" t="str">
        <x:v>中</x:v>
      </x:c>
      <x:c r="L231" s="12" t="str">
        <x:v>保留为Auto候选</x:v>
      </x:c>
      <x:c r="M231" s="12" t="str">
        <x:v>司控股股东、 实际控制人李莉为 公司员工持股计划载体亿达康的执行事务合伙人， 亿达康的基本情况详见本节之“五、 发行 人股本情况”之“（三）其他披露事项”之“2、员工持股计划”。 除上述情况外，公司控股股东、实际控制人李莉不存在控制的其他企业。 五、 发行人股本情况 （一） 本次发行前后的股本结构情况 截至本招股说明书签署日， 公司总股本为59,789...</x:v>
      </x:c>
    </x:row>
    <x:row r="232" ht="38" customHeight="1">
      <x:c r="A232" s="12" t="str">
        <x:v>W13-920016-023</x:v>
      </x:c>
      <x:c r="B232" s="12" t="str">
        <x:v>920016</x:v>
      </x:c>
      <x:c r="C232" s="12" t="str">
        <x:v>中草香料</x:v>
      </x:c>
      <x:c r="D232" s="12" t="str">
        <x:v>股权快照</x:v>
      </x:c>
      <x:c r="E232" s="12" t="n">
        <x:v>35</x:v>
      </x:c>
      <x:c r="F232" s="12" t="str">
        <x:v>股本结构</x:v>
      </x:c>
      <x:c r="G232" s="12" t="str"/>
      <x:c r="H232" s="12" t="str"/>
      <x:c r="I232" s="12" t="str">
        <x:v>14,950,000 股</x:v>
      </x:c>
      <x:c r="J232" s="12" t="str">
        <x:v>25%</x:v>
      </x:c>
      <x:c r="K232" s="12" t="str">
        <x:v>中</x:v>
      </x:c>
      <x:c r="L232" s="12" t="str">
        <x:v>保留为Auto候选</x:v>
      </x:c>
      <x:c r="M232" s="12" t="str">
        <x:v>1-1-35 比例不低于 25%。 若本次公开发行 14,950,000 股，本次发行前后公司股本结构变动如下： 序号 股东名称 本次发行前 本次发行后 持股数（股） 持股比例 持股数（股） 持股比例 1 李莉 31,438,274 52.58% 31,438,274 42.06% 2 李淑清 10,750,833 17.98% 10,750,833 ...</x:v>
      </x:c>
    </x:row>
    <x:row r="233" ht="38" customHeight="1">
      <x:c r="A233" s="12" t="str">
        <x:v>W13-920016-024</x:v>
      </x:c>
      <x:c r="B233" s="12" t="str">
        <x:v>920016</x:v>
      </x:c>
      <x:c r="C233" s="12" t="str">
        <x:v>中草香料</x:v>
      </x:c>
      <x:c r="D233" s="12" t="str">
        <x:v>股权快照</x:v>
      </x:c>
      <x:c r="E233" s="12" t="n">
        <x:v>51</x:v>
      </x:c>
      <x:c r="F233" s="12" t="str">
        <x:v>持股数量</x:v>
      </x:c>
      <x:c r="G233" s="12" t="str">
        <x:v>2015 年 6 月</x:v>
      </x:c>
      <x:c r="H233" s="12" t="str"/>
      <x:c r="I233" s="12" t="str"/>
      <x:c r="J233" s="12" t="str"/>
      <x:c r="K233" s="12" t="str">
        <x:v>中</x:v>
      </x:c>
      <x:c r="L233" s="12" t="str">
        <x:v>保留为Auto候选</x:v>
      </x:c>
      <x:c r="M233" s="12" t="str">
        <x:v>月，任安徽柳工起重机有限公司财务经理；2015 年 6 月至 2016 年 5 月，任中草有限财 务经理；2016 年 5 月至 2017 年 8 月，任中草香料董事、财务总监；2017 年 8 月至今，任中 草香料财务总监。 （二） 直接或间接持有发行人股份的情况 姓名 职位 关系 直接持股数量 （股） 间接持股数 量（股） 无限售股数量 （股） 其...</x:v>
      </x:c>
    </x:row>
    <x:row r="234" ht="38" customHeight="1">
      <x:c r="A234" s="12" t="str">
        <x:v>W13-920016-025</x:v>
      </x:c>
      <x:c r="B234" s="12" t="str">
        <x:v>920016</x:v>
      </x:c>
      <x:c r="C234" s="12" t="str">
        <x:v>中草香料</x:v>
      </x:c>
      <x:c r="D234" s="12" t="str">
        <x:v>特殊投资条款</x:v>
      </x:c>
      <x:c r="E234" s="12" t="n">
        <x:v>38</x:v>
      </x:c>
      <x:c r="F234" s="12" t="str">
        <x:v>特殊投资条款</x:v>
      </x:c>
      <x:c r="G234" s="12" t="str">
        <x:v>2022 年 4 月 12 日</x:v>
      </x:c>
      <x:c r="H234" s="12" t="str">
        <x:v>人民币 3,800 万元</x:v>
      </x:c>
      <x:c r="I234" s="12" t="str"/>
      <x:c r="J234" s="12" t="str"/>
      <x:c r="K234" s="12" t="str">
        <x:v>高</x:v>
      </x:c>
      <x:c r="L234" s="12" t="str">
        <x:v>保留为Auto候选</x:v>
      </x:c>
      <x:c r="M234" s="12" t="str">
        <x:v>发行人挂牌期间的基本情 况”之“（五）报告期内发行融资情况”之“2、挂牌后第二次定增”。公司员工持股计划 亿达康参与了此次发行认购， 本次定向发行未设置服务期、 业绩条件等行权条件， 不会影响 发行人的股权结构。 截至本招股说明书签署日，公司不存在已经制定或正在实施的股权激励及相关安排。 （二）特殊投资条款约定 公司 2022 年第一次股票定向发行时，...</x:v>
      </x:c>
    </x:row>
    <x:row r="235" ht="38" customHeight="1">
      <x:c r="A235" s="12" t="str">
        <x:v>W13-920016-026</x:v>
      </x:c>
      <x:c r="B235" s="12" t="str">
        <x:v>920016</x:v>
      </x:c>
      <x:c r="C235" s="12" t="str">
        <x:v>中草香料</x:v>
      </x:c>
      <x:c r="D235" s="12" t="str">
        <x:v>特殊投资条款</x:v>
      </x:c>
      <x:c r="E235" s="12" t="n">
        <x:v>42</x:v>
      </x:c>
      <x:c r="F235" s="12" t="str">
        <x:v>优先购买权</x:v>
      </x:c>
      <x:c r="G235" s="12" t="str">
        <x:v>2022 年 4 月 12 日</x:v>
      </x:c>
      <x:c r="H235" s="12" t="str"/>
      <x:c r="I235" s="12" t="str"/>
      <x:c r="J235" s="12" t="str">
        <x:v>8%</x:v>
      </x:c>
      <x:c r="K235" s="12" t="str">
        <x:v>中</x:v>
      </x:c>
      <x:c r="L235" s="12" t="str">
        <x:v>保留为Auto候选</x:v>
      </x:c>
      <x:c r="M235" s="12" t="str">
        <x:v>间的基本收益 （基本收益=投资款本金×8%×投资款到账之日 （含） 至回购价款支付之 日（不含）的天数÷365）。在甲方获得投资本金及基本收益后，乙方才能参与分配剩余的 公司可分配财产。 3.4 转让便利 3.4.1 甲方有权向任意第三方转让其所持公司股份，同等条件下，包括乙方在内的其他 股东有优先购买权， 乙方保证受让甲方股份的第三方享有甲方按照本协...</x:v>
      </x:c>
    </x:row>
    <x:row r="236" ht="38" customHeight="1">
      <x:c r="A236" s="12" t="str">
        <x:v>W13-920016-027</x:v>
      </x:c>
      <x:c r="B236" s="12" t="str">
        <x:v>920016</x:v>
      </x:c>
      <x:c r="C236" s="12" t="str">
        <x:v>中草香料</x:v>
      </x:c>
      <x:c r="D236" s="12" t="str">
        <x:v>特殊投资条款</x:v>
      </x:c>
      <x:c r="E236" s="12" t="n">
        <x:v>46</x:v>
      </x:c>
      <x:c r="F236" s="12" t="str">
        <x:v>对赌</x:v>
      </x:c>
      <x:c r="G236" s="12" t="str">
        <x:v>2022 年 8 月 26 日</x:v>
      </x:c>
      <x:c r="H236" s="12" t="str"/>
      <x:c r="I236" s="12" t="str"/>
      <x:c r="J236" s="12" t="str"/>
      <x:c r="K236" s="12" t="str">
        <x:v>中</x:v>
      </x:c>
      <x:c r="L236" s="12" t="str">
        <x:v>保留为Auto候选</x:v>
      </x:c>
      <x:c r="M236" s="12" t="str">
        <x:v>65）-现金分 红。” 5、补充协议的解除情况 2022 年 8 月 26 日至 2022 年 9 月 27 日期间， 公司实际控制人李莉与蚌埠市成长型中小 企业基金有限公司、 蚌埠市天使投资基金 （有限合伙） 、 铜陵高投毅达专精特新创业投资基 金合伙企业 （有限合伙） 、 陈颖分别签署了相关对赌条款的解除协议。 解除协议的主要条款 如下： “一、甲...</x:v>
      </x:c>
    </x:row>
    <x:row r="237" ht="38" customHeight="1">
      <x:c r="A237" s="12" t="str">
        <x:v>W13-920016-028</x:v>
      </x:c>
      <x:c r="B237" s="12" t="str">
        <x:v>920016</x:v>
      </x:c>
      <x:c r="C237" s="12" t="str">
        <x:v>中草香料</x:v>
      </x:c>
      <x:c r="D237" s="12" t="str">
        <x:v>特殊投资条款</x:v>
      </x:c>
      <x:c r="E237" s="12" t="n">
        <x:v>40</x:v>
      </x:c>
      <x:c r="F237" s="12" t="str">
        <x:v>优先购买权</x:v>
      </x:c>
      <x:c r="G237" s="12" t="str">
        <x:v>2022 年 4 月 12 日</x:v>
      </x:c>
      <x:c r="H237" s="12" t="str">
        <x:v>人民币 3,800 万元</x:v>
      </x:c>
      <x:c r="I237" s="12" t="str"/>
      <x:c r="J237" s="12" t="str">
        <x:v>8%</x:v>
      </x:c>
      <x:c r="K237" s="12" t="str">
        <x:v>高</x:v>
      </x:c>
      <x:c r="L237" s="12" t="str">
        <x:v>保留为Auto候选</x:v>
      </x:c>
      <x:c r="M237" s="12" t="str">
        <x:v>本金及投资期间 的基本收益（基本收益=出资款本金×8%×出资款到账之日（含）至回购价款支付之日（不 含）的天数÷365）。在甲方获得投资本金及基本收益后，乙方才能参与分配剩余的公司可 分配财产。 4.4 转让便利 甲方有权向任意第三方转让其所持公司股份， 同等条件下， 包括乙方在内的其他股东有 优先购买权，乙方保证受让甲方股份的第三方享有甲方按照本协议...</x:v>
      </x:c>
    </x:row>
    <x:row r="238" ht="38" customHeight="1">
      <x:c r="A238" s="12" t="str">
        <x:v>W13-920016-029</x:v>
      </x:c>
      <x:c r="B238" s="12" t="str">
        <x:v>920016</x:v>
      </x:c>
      <x:c r="C238" s="12" t="str">
        <x:v>中草香料</x:v>
      </x:c>
      <x:c r="D238" s="12" t="str">
        <x:v>特殊投资条款</x:v>
      </x:c>
      <x:c r="E238" s="12" t="n">
        <x:v>41</x:v>
      </x:c>
      <x:c r="F238" s="12" t="str">
        <x:v>共同出售权</x:v>
      </x:c>
      <x:c r="G238" s="12" t="str"/>
      <x:c r="H238" s="12" t="str"/>
      <x:c r="I238" s="12" t="str"/>
      <x:c r="J238" s="12" t="str">
        <x:v>8%</x:v>
      </x:c>
      <x:c r="K238" s="12" t="str">
        <x:v>低</x:v>
      </x:c>
      <x:c r="L238" s="12" t="str">
        <x:v>保留为Auto候选</x:v>
      </x:c>
      <x:c r="M238" s="12" t="str">
        <x:v>回购款金额： 回购价款=投资款金额× （1+8%×投资款到账日至回购价款支付日的天数/365）-现金分 红 若乙方未能在 120 日内向甲方支付全部回购价款， 从该120 日届满之日起乙方应按甲方 投资款本金的 0.5%/日计算的金额向甲方支付资金占用费，直至乙方支付完全部回购价款。 3.2 共同出售权及优先出售权 3.2.1 乙方（简称“股份出售方”...</x:v>
      </x:c>
    </x:row>
    <x:row r="239" ht="38" customHeight="1">
      <x:c r="A239" s="12" t="str">
        <x:v>W13-920016-030</x:v>
      </x:c>
      <x:c r="B239" s="12" t="str">
        <x:v>920016</x:v>
      </x:c>
      <x:c r="C239" s="12" t="str">
        <x:v>中草香料</x:v>
      </x:c>
      <x:c r="D239" s="12" t="str">
        <x:v>特殊投资条款</x:v>
      </x:c>
      <x:c r="E239" s="12" t="n">
        <x:v>39</x:v>
      </x:c>
      <x:c r="F239" s="12" t="str">
        <x:v>共同出售权</x:v>
      </x:c>
      <x:c r="G239" s="12" t="str"/>
      <x:c r="H239" s="12" t="str"/>
      <x:c r="I239" s="12" t="str"/>
      <x:c r="J239" s="12" t="str"/>
      <x:c r="K239" s="12" t="str">
        <x:v>低</x:v>
      </x:c>
      <x:c r="L239" s="12" t="str">
        <x:v>保留为Auto候选</x:v>
      </x:c>
      <x:c r="M239" s="12" t="str">
        <x:v>日内提 供公司的审计报告； 乙方应督促公司确保财务报表编制根据中国会计准则， 审计按照中国审 计准则，并且由具有证券从业资格的会计师事务所执行。 如有需要， 在不干扰公司正常生产经营以及符合信息披露要求的前提下， 乙方应当督促 公司根据甲方合理要求，配合提供其他重大生产经营相关信息。 4.2 共同出售权及优先出售权 乙方（简称“股份出售方”）拟向第三方...</x:v>
      </x:c>
    </x:row>
    <x:row r="240" ht="38" customHeight="1">
      <x:c r="A240" s="12" t="str">
        <x:v>W13-920304-001</x:v>
      </x:c>
      <x:c r="B240" s="12" t="str">
        <x:v>920304</x:v>
      </x:c>
      <x:c r="C240" s="12" t="str">
        <x:v>迪尔化工</x:v>
      </x:c>
      <x:c r="D240" s="12" t="str">
        <x:v>增资认缴</x:v>
      </x:c>
      <x:c r="E240" s="12" t="n">
        <x:v>27</x:v>
      </x:c>
      <x:c r="F240" s="12" t="str">
        <x:v>定向发行</x:v>
      </x:c>
      <x:c r="G240" s="12" t="str">
        <x:v>2014 年 11 月 10 日</x:v>
      </x:c>
      <x:c r="H240" s="12" t="str">
        <x:v>1.35 元</x:v>
      </x:c>
      <x:c r="I240" s="12" t="str">
        <x:v>1,500.00 万股</x:v>
      </x:c>
      <x:c r="J240" s="12" t="str"/>
      <x:c r="K240" s="12" t="str">
        <x:v>中</x:v>
      </x:c>
      <x:c r="L240" s="12" t="str">
        <x:v>保留为Auto候选</x:v>
      </x:c>
      <x:c r="M240" s="12" t="str">
        <x:v>公司目前股票交易方式为集合竞价交易。公司挂牌期间股票交易方式及其变更情况如下： 期间 股票交易方式 2014 年 11 月 10 日至 2018 年 1 月 14 日 协议转让 2018 年 1 月 15 日至今 集合竞价交易 （五） 报告期内发行融资情况 报告期内，公司进行过一次定向发行股票的行为，具体情况如下： 2021 年 4 月 28 日公司第...</x:v>
      </x:c>
    </x:row>
    <x:row r="241" ht="38" customHeight="1">
      <x:c r="A241" s="12" t="str">
        <x:v>W13-920304-002</x:v>
      </x:c>
      <x:c r="B241" s="12" t="str">
        <x:v>920304</x:v>
      </x:c>
      <x:c r="C241" s="12" t="str">
        <x:v>迪尔化工</x:v>
      </x:c>
      <x:c r="D241" s="12" t="str">
        <x:v>增资认缴</x:v>
      </x:c>
      <x:c r="E241" s="12" t="n">
        <x:v>144</x:v>
      </x:c>
      <x:c r="F241" s="12" t="str">
        <x:v>增资</x:v>
      </x:c>
      <x:c r="G241" s="12" t="str"/>
      <x:c r="H241" s="12" t="str"/>
      <x:c r="I241" s="12" t="str"/>
      <x:c r="J241" s="12" t="str"/>
      <x:c r="K241" s="12" t="str">
        <x:v>低</x:v>
      </x:c>
      <x:c r="L241" s="12" t="str">
        <x:v>保留为Auto候选</x:v>
      </x:c>
      <x:c r="M241" s="12" t="str">
        <x:v>2．提取一般风 险准备 3 ． 对所有者 （或股东）的 分配 -23,001,840.00 -23,001,840.00 4．其他 （四） 所有者 权益内部结转 1．资本公积转 增资本（或股 本） 2．盈余公积转 增资本（或股 本） 3．盈余公积弥 补亏损 4．设定受益计 划变动额结转 留存收益 5. 其他综合收 益结转留存收 益 6．其他 （五） 专...</x:v>
      </x:c>
    </x:row>
    <x:row r="242" ht="38" customHeight="1">
      <x:c r="A242" s="12" t="str">
        <x:v>W13-920304-003</x:v>
      </x:c>
      <x:c r="B242" s="12" t="str">
        <x:v>920304</x:v>
      </x:c>
      <x:c r="C242" s="12" t="str">
        <x:v>迪尔化工</x:v>
      </x:c>
      <x:c r="D242" s="12" t="str">
        <x:v>增资认缴</x:v>
      </x:c>
      <x:c r="E242" s="12" t="n">
        <x:v>145</x:v>
      </x:c>
      <x:c r="F242" s="12" t="str">
        <x:v>增资</x:v>
      </x:c>
      <x:c r="G242" s="12" t="str"/>
      <x:c r="H242" s="12" t="str"/>
      <x:c r="I242" s="12" t="str"/>
      <x:c r="J242" s="12" t="str"/>
      <x:c r="K242" s="12" t="str">
        <x:v>低</x:v>
      </x:c>
      <x:c r="L242" s="12" t="str">
        <x:v>保留为Auto候选</x:v>
      </x:c>
      <x:c r="M242" s="12" t="str">
        <x:v>2,127.78 2．提取一般风险准 备 3．对所有者（或股 东）的分配 -20,301,840.00 -20,301,840.00 4．其他 （四）所有者权益内 部结转 1．资本公积转增资 本（或股本） 2．盈余公积转增资 本（或股本） 3．盈余公积弥补亏 损 4．设定受益计划变 动额结转留存收益</x:v>
      </x:c>
    </x:row>
    <x:row r="243" ht="38" customHeight="1">
      <x:c r="A243" s="12" t="str">
        <x:v>W13-920304-004</x:v>
      </x:c>
      <x:c r="B243" s="12" t="str">
        <x:v>920304</x:v>
      </x:c>
      <x:c r="C243" s="12" t="str">
        <x:v>迪尔化工</x:v>
      </x:c>
      <x:c r="D243" s="12" t="str">
        <x:v>增资认缴</x:v>
      </x:c>
      <x:c r="E243" s="12" t="n">
        <x:v>147</x:v>
      </x:c>
      <x:c r="F243" s="12" t="str">
        <x:v>增资</x:v>
      </x:c>
      <x:c r="G243" s="12" t="str"/>
      <x:c r="H243" s="12" t="str"/>
      <x:c r="I243" s="12" t="str"/>
      <x:c r="J243" s="12" t="str"/>
      <x:c r="K243" s="12" t="str">
        <x:v>中</x:v>
      </x:c>
      <x:c r="L243" s="12" t="str">
        <x:v>保留为Auto候选</x:v>
      </x:c>
      <x:c r="M243" s="12" t="str">
        <x:v>339,147.66 2．提取一般风险准备 3．对所有者（或股东） 的分配 4．其他 （四）所有者权益内部结 转 26,028,000.00 -26,028,000.00 1．资本公积转增资本 （或 股本） 2．盈余公积转增资本 （或 股本） 3．盈余公积弥补亏损 4．设定受益计划变动额 结转留存收益 5. 其他综合收益 结转 留 存收益 6．其他 2...</x:v>
      </x:c>
    </x:row>
    <x:row r="244" ht="38" customHeight="1">
      <x:c r="A244" s="12" t="str">
        <x:v>W13-920304-005</x:v>
      </x:c>
      <x:c r="B244" s="12" t="str">
        <x:v>920304</x:v>
      </x:c>
      <x:c r="C244" s="12" t="str">
        <x:v>迪尔化工</x:v>
      </x:c>
      <x:c r="D244" s="12" t="str">
        <x:v>增资认缴</x:v>
      </x:c>
      <x:c r="E244" s="12" t="n">
        <x:v>148</x:v>
      </x:c>
      <x:c r="F244" s="12" t="str">
        <x:v>增资</x:v>
      </x:c>
      <x:c r="G244" s="12" t="str"/>
      <x:c r="H244" s="12" t="str"/>
      <x:c r="I244" s="12" t="str"/>
      <x:c r="J244" s="12" t="str"/>
      <x:c r="K244" s="12" t="str">
        <x:v>中</x:v>
      </x:c>
      <x:c r="L244" s="12" t="str">
        <x:v>保留为Auto候选</x:v>
      </x:c>
      <x:c r="M244" s="12" t="str">
        <x:v>27,431.57 2．提取一般风险准备 3．对所有者（或股东） 的 分配 -13,014,000.00 -13,014,000.00 4．其他 （四）所有者权益内部结转 1．资本公积转增资本（或 股本） 2．盈余公积转增资本（ 或 股本） 3．盈余公积弥补亏损 4．设定受益计划变动额结 转留存收益 5.其 他 综合 收 益结转留 存 收益 6．其他 ...</x:v>
      </x:c>
    </x:row>
    <x:row r="245" ht="38" customHeight="1">
      <x:c r="A245" s="12" t="str">
        <x:v>W13-920304-006</x:v>
      </x:c>
      <x:c r="B245" s="12" t="str">
        <x:v>920304</x:v>
      </x:c>
      <x:c r="C245" s="12" t="str">
        <x:v>迪尔化工</x:v>
      </x:c>
      <x:c r="D245" s="12" t="str">
        <x:v>增资认缴</x:v>
      </x:c>
      <x:c r="E245" s="12" t="n">
        <x:v>150</x:v>
      </x:c>
      <x:c r="F245" s="12" t="str">
        <x:v>增资</x:v>
      </x:c>
      <x:c r="G245" s="12" t="str"/>
      <x:c r="H245" s="12" t="str"/>
      <x:c r="I245" s="12" t="str"/>
      <x:c r="J245" s="12" t="str"/>
      <x:c r="K245" s="12" t="str">
        <x:v>中</x:v>
      </x:c>
      <x:c r="L245" s="12" t="str">
        <x:v>保留为Auto候选</x:v>
      </x:c>
      <x:c r="M245" s="12" t="str">
        <x:v>1-1-149 4．其他 （四）所有者权益内部结转 1．资本公积转增资本（或股本） 2．盈余公积转增资本（或股本） 3．盈余公积弥补亏损 4．设定受益计划变动额结转留存收 益 5. 其他综合收益结转留存收益 6．其他 （五）专项储备 1,060,898.61 1,060,898.61 1．本期提取 1,735,767.60 1,735,767.60 2...</x:v>
      </x:c>
    </x:row>
    <x:row r="246" ht="38" customHeight="1">
      <x:c r="A246" s="12" t="str">
        <x:v>W13-920304-007</x:v>
      </x:c>
      <x:c r="B246" s="12" t="str">
        <x:v>920304</x:v>
      </x:c>
      <x:c r="C246" s="12" t="str">
        <x:v>迪尔化工</x:v>
      </x:c>
      <x:c r="D246" s="12" t="str">
        <x:v>增资认缴</x:v>
      </x:c>
      <x:c r="E246" s="12" t="n">
        <x:v>151</x:v>
      </x:c>
      <x:c r="F246" s="12" t="str">
        <x:v>增资</x:v>
      </x:c>
      <x:c r="G246" s="12" t="str"/>
      <x:c r="H246" s="12" t="str"/>
      <x:c r="I246" s="12" t="str"/>
      <x:c r="J246" s="12" t="str"/>
      <x:c r="K246" s="12" t="str">
        <x:v>中</x:v>
      </x:c>
      <x:c r="L246" s="12" t="str">
        <x:v>保留为Auto候选</x:v>
      </x:c>
      <x:c r="M246" s="12" t="str">
        <x:v>-3,052,127.78 2. 提取一般风险准备 3．对所有者（或股东）的分配 -20,301,840.00 -20,301,840.00 4．其他 （四）所有者权益内部结转 1．资本公积转增资本（或股本） 2．盈余公积转增资本（或股本） 3．盈余公积弥补亏损 4．设定受益计划变动额结转留存收 益 5. 其他综合收益结转留存收益 6．其他 （五）专项...</x:v>
      </x:c>
    </x:row>
    <x:row r="247" ht="38" customHeight="1">
      <x:c r="A247" s="12" t="str">
        <x:v>W13-920304-008</x:v>
      </x:c>
      <x:c r="B247" s="12" t="str">
        <x:v>920304</x:v>
      </x:c>
      <x:c r="C247" s="12" t="str">
        <x:v>迪尔化工</x:v>
      </x:c>
      <x:c r="D247" s="12" t="str">
        <x:v>增资认缴</x:v>
      </x:c>
      <x:c r="E247" s="12" t="n">
        <x:v>152</x:v>
      </x:c>
      <x:c r="F247" s="12" t="str">
        <x:v>增资</x:v>
      </x:c>
      <x:c r="G247" s="12" t="str"/>
      <x:c r="H247" s="12" t="str"/>
      <x:c r="I247" s="12" t="str"/>
      <x:c r="J247" s="12" t="str"/>
      <x:c r="K247" s="12" t="str">
        <x:v>中</x:v>
      </x:c>
      <x:c r="L247" s="12" t="str">
        <x:v>保留为Auto候选</x:v>
      </x:c>
      <x:c r="M247" s="12" t="str">
        <x:v>6 -2,339,147.66 2. 提取一般风险准备 3．对所有者（或股东）的分配 4．其他 （四）所有者权益内部结转 26,028,000.00 -26,028,000.00 1．资本公积转增资本（或股本） 2．盈余公积转增资本（或股本） 3．盈余公积弥补亏损 4．设定受益计划变动额结转留存收益 5. 其他综合收益结转留存收益 6．其他 26,02...</x:v>
      </x:c>
    </x:row>
    <x:row r="248" ht="38" customHeight="1">
      <x:c r="A248" s="12" t="str">
        <x:v>W13-920304-009</x:v>
      </x:c>
      <x:c r="B248" s="12" t="str">
        <x:v>920304</x:v>
      </x:c>
      <x:c r="C248" s="12" t="str">
        <x:v>迪尔化工</x:v>
      </x:c>
      <x:c r="D248" s="12" t="str">
        <x:v>股权转让</x:v>
      </x:c>
      <x:c r="E248" s="12" t="n">
        <x:v>126</x:v>
      </x:c>
      <x:c r="F248" s="12" t="str">
        <x:v>转让给</x:v>
      </x:c>
      <x:c r="G248" s="12" t="str">
        <x:v>2017 年 3 月</x:v>
      </x:c>
      <x:c r="H248" s="12" t="str"/>
      <x:c r="I248" s="12" t="str"/>
      <x:c r="J248" s="12" t="str">
        <x:v>100.00%</x:v>
      </x:c>
      <x:c r="K248" s="12" t="str">
        <x:v>中</x:v>
      </x:c>
      <x:c r="L248" s="12" t="str">
        <x:v>保留为Auto候选</x:v>
      </x:c>
      <x:c r="M248" s="12" t="str">
        <x:v>股份的股东，2017 年 3 月至 2018 年 3 月任公司董事长）将其实际控制的山东华鸿化工有限公司对外处置， 自2019 年 10 月起， 公司 与山东华鸿化工有限公司之间不再存在关联关系，公司上表中披露数据为 2019 年 1-9 月的数据。 山东华鸿化工有限公司全部资产、 人员均随股权一并转让给上市公司中化国际 （600500） 下属子公 司...</x:v>
      </x:c>
    </x:row>
    <x:row r="249" ht="38" customHeight="1">
      <x:c r="A249" s="12" t="str">
        <x:v>W13-920304-010</x:v>
      </x:c>
      <x:c r="B249" s="12" t="str">
        <x:v>920304</x:v>
      </x:c>
      <x:c r="C249" s="12" t="str">
        <x:v>迪尔化工</x:v>
      </x:c>
      <x:c r="D249" s="12" t="str">
        <x:v>股权转让</x:v>
      </x:c>
      <x:c r="E249" s="12" t="n">
        <x:v>10</x:v>
      </x:c>
      <x:c r="F249" s="12" t="str">
        <x:v>股份转让</x:v>
      </x:c>
      <x:c r="G249" s="12" t="str">
        <x:v>2022 年 1 月</x:v>
      </x:c>
      <x:c r="H249" s="12" t="str"/>
      <x:c r="I249" s="12" t="str"/>
      <x:c r="J249" s="12" t="str"/>
      <x:c r="K249" s="12" t="str">
        <x:v>低</x:v>
      </x:c>
      <x:c r="L249" s="12" t="str">
        <x:v>排除为转让系统语境</x:v>
      </x:c>
      <x:c r="M249" s="12" t="str">
        <x:v>法》 指 《中华人民共和国证券法》 公司章程 指 山东华阳迪尔化工股份有限公司章程 公司章程（草案） 指 北交所上市后适用的《山东华阳迪尔化工股份有限公司章程 （草案）》 中国证监会、证监会 指 中国证券监督管理委员会 北交所 指 北京证券交易所有限责任公司 全国股转系统 指 全国中小企业股份转让系统 全国股转公司 指 全国中小企业股份转让系统有限责任...</x:v>
      </x:c>
    </x:row>
    <x:row r="250" ht="38" customHeight="1">
      <x:c r="A250" s="12" t="str">
        <x:v>W13-920304-011</x:v>
      </x:c>
      <x:c r="B250" s="12" t="str">
        <x:v>920304</x:v>
      </x:c>
      <x:c r="C250" s="12" t="str">
        <x:v>迪尔化工</x:v>
      </x:c>
      <x:c r="D250" s="12" t="str">
        <x:v>股权转让</x:v>
      </x:c>
      <x:c r="E250" s="12" t="n">
        <x:v>20</x:v>
      </x:c>
      <x:c r="F250" s="12" t="str">
        <x:v>股份转让</x:v>
      </x:c>
      <x:c r="G250" s="12" t="str"/>
      <x:c r="H250" s="12" t="str">
        <x:v>2 亿元</x:v>
      </x:c>
      <x:c r="I250" s="12" t="str"/>
      <x:c r="J250" s="12" t="str">
        <x:v>8%</x:v>
      </x:c>
      <x:c r="K250" s="12" t="str">
        <x:v>低</x:v>
      </x:c>
      <x:c r="L250" s="12" t="str">
        <x:v>排除为转让系统语境</x:v>
      </x:c>
      <x:c r="M250" s="12" t="str">
        <x:v>据《北京证券交易所股票上市规则（试行）》相关规定，公司选择的上市标准为：市值不低 于 2 亿元，最近两年净利润均不低于 1,500.00 万元且加权平均净资产收益率平均不低于 8%，或者 最近一年净利润不低于 2,500.00 万元且加权平均净资产收益率不低于 8%。 根据发行人股票在全国中小企业股份转让系统交易情况、 同行业公司的市盈率情况及发行人最...</x:v>
      </x:c>
    </x:row>
    <x:row r="251" ht="38" customHeight="1">
      <x:c r="A251" s="12" t="str">
        <x:v>W13-920304-012</x:v>
      </x:c>
      <x:c r="B251" s="12" t="str">
        <x:v>920304</x:v>
      </x:c>
      <x:c r="C251" s="12" t="str">
        <x:v>迪尔化工</x:v>
      </x:c>
      <x:c r="D251" s="12" t="str">
        <x:v>股权转让</x:v>
      </x:c>
      <x:c r="E251" s="12" t="n">
        <x:v>26</x:v>
      </x:c>
      <x:c r="F251" s="12" t="str">
        <x:v>股份转让</x:v>
      </x:c>
      <x:c r="G251" s="12" t="str">
        <x:v>2014 年 10 月 28 日</x:v>
      </x:c>
      <x:c r="H251" s="12" t="str"/>
      <x:c r="I251" s="12" t="str"/>
      <x:c r="J251" s="12" t="str"/>
      <x:c r="K251" s="12" t="str">
        <x:v>低</x:v>
      </x:c>
      <x:c r="L251" s="12" t="str">
        <x:v>排除为转让系统语境</x:v>
      </x:c>
      <x:c r="M251" s="12" t="str">
        <x:v>下游硝酸钾、硝酸镁、硝基水溶肥 等产品 的研发、生产和销售 主要产品与服务项目 硝酸、硝酸钾、硝酸镁、硝基水溶肥等 二、 发行人挂牌期间的基本情况 （一） 挂牌日期和目前所属层级 2014 年 10 月 28 日，全国股转公司出具《关于同意山东华阳迪尔化工股份有限公司股票在全 国中小企业股份转让系统挂牌的函》（股转系统函〔 2014〕1103 号），同...</x:v>
      </x:c>
    </x:row>
    <x:row r="252" ht="38" customHeight="1">
      <x:c r="A252" s="12" t="str">
        <x:v>W13-920304-013</x:v>
      </x:c>
      <x:c r="B252" s="12" t="str">
        <x:v>920304</x:v>
      </x:c>
      <x:c r="C252" s="12" t="str">
        <x:v>迪尔化工</x:v>
      </x:c>
      <x:c r="D252" s="12" t="str">
        <x:v>股权转让</x:v>
      </x:c>
      <x:c r="E252" s="12" t="n">
        <x:v>49</x:v>
      </x:c>
      <x:c r="F252" s="12" t="str">
        <x:v>股份回购</x:v>
      </x:c>
      <x:c r="G252" s="12" t="str"/>
      <x:c r="H252" s="12" t="str"/>
      <x:c r="I252" s="12" t="str"/>
      <x:c r="J252" s="12" t="str">
        <x:v>50%</x:v>
      </x:c>
      <x:c r="K252" s="12" t="str">
        <x:v>低</x:v>
      </x:c>
      <x:c r="L252" s="12" t="str">
        <x:v>保留为Auto候选</x:v>
      </x:c>
      <x:c r="M252" s="12" t="str">
        <x:v>人员增持公司股份后，公司股票仍触及稳定股 价预案启动的条件，公司以法律法规允许的交易方式向不 特定合格投资者回购股份（以下简称 “公司回购股份”）满 足启动股价稳定措施条件后，公司应在 5 个交易日内召开 董事会，讨论公司向不特定合格投资者回购公司股份的方 案，并提交股东大会审议。在股东大会审议通过股份回购 方案后，公司依法通知债权人，向证券监督管理部...</x:v>
      </x:c>
    </x:row>
    <x:row r="253" ht="38" customHeight="1">
      <x:c r="A253" s="12" t="str">
        <x:v>W13-920304-014</x:v>
      </x:c>
      <x:c r="B253" s="12" t="str">
        <x:v>920304</x:v>
      </x:c>
      <x:c r="C253" s="12" t="str">
        <x:v>迪尔化工</x:v>
      </x:c>
      <x:c r="D253" s="12" t="str">
        <x:v>股权转让</x:v>
      </x:c>
      <x:c r="E253" s="12" t="n">
        <x:v>50</x:v>
      </x:c>
      <x:c r="F253" s="12" t="str">
        <x:v>股份回购</x:v>
      </x:c>
      <x:c r="G253" s="12" t="str">
        <x:v>2023 年 1 月 13 日</x:v>
      </x:c>
      <x:c r="H253" s="12" t="str"/>
      <x:c r="I253" s="12" t="str"/>
      <x:c r="J253" s="12" t="str"/>
      <x:c r="K253" s="12" t="str">
        <x:v>中</x:v>
      </x:c>
      <x:c r="L253" s="12" t="str">
        <x:v>保留为Auto候选</x:v>
      </x:c>
      <x:c r="M253" s="12" t="str">
        <x:v>1-1-49 义务相应金额的应付实际控制人及其一致行动人现金分红 予以截留用于下次股份回购计划，实际控制人及其一致行 动人丧失对相应金额现金分红的追索权。（三）如果董事 （独立董事除外）、高级管理人员未采取上述稳定股价的 具体措施的， 将在前述事项发生之日起10 个交易日内， 公 司停止发放未履行承诺董事（独立董事除外）、高级管理 人员的薪酬及现金分红...</x:v>
      </x:c>
    </x:row>
    <x:row r="254" ht="38" customHeight="1">
      <x:c r="A254" s="12" t="str">
        <x:v>W13-920304-015</x:v>
      </x:c>
      <x:c r="B254" s="12" t="str">
        <x:v>920304</x:v>
      </x:c>
      <x:c r="C254" s="12" t="str">
        <x:v>迪尔化工</x:v>
      </x:c>
      <x:c r="D254" s="12" t="str">
        <x:v>股权转让</x:v>
      </x:c>
      <x:c r="E254" s="12" t="n">
        <x:v>51</x:v>
      </x:c>
      <x:c r="F254" s="12" t="str">
        <x:v>股份回购</x:v>
      </x:c>
      <x:c r="G254" s="12" t="str"/>
      <x:c r="H254" s="12" t="str"/>
      <x:c r="I254" s="12" t="str"/>
      <x:c r="J254" s="12" t="str"/>
      <x:c r="K254" s="12" t="str">
        <x:v>低</x:v>
      </x:c>
      <x:c r="L254" s="12" t="str">
        <x:v>保留为Auto候选</x:v>
      </x:c>
      <x:c r="M254" s="12" t="str">
        <x:v>员增持公司股份后，公司股票仍触及稳定股 价预案启动的条件，公司以法律法规允许的交 易方式向不 特定合格投资者回购股份（以下简称 “公司回购股份”）满 足启动股价稳定措施条件后，公司应在 5 个交易日内召开 董事会，讨论公司向不特定合格投资者回购公司股份的方 案，并提交股东大会审议。在股东大会审议通过股份回购 方案后，公司依法通知债权人，向证券监督管理部...</x:v>
      </x:c>
    </x:row>
    <x:row r="255" ht="38" customHeight="1">
      <x:c r="A255" s="12" t="str">
        <x:v>W13-920304-016</x:v>
      </x:c>
      <x:c r="B255" s="12" t="str">
        <x:v>920304</x:v>
      </x:c>
      <x:c r="C255" s="12" t="str">
        <x:v>迪尔化工</x:v>
      </x:c>
      <x:c r="D255" s="12" t="str">
        <x:v>股权转让</x:v>
      </x:c>
      <x:c r="E255" s="12" t="n">
        <x:v>52</x:v>
      </x:c>
      <x:c r="F255" s="12" t="str">
        <x:v>股份转让</x:v>
      </x:c>
      <x:c r="G255" s="12" t="str"/>
      <x:c r="H255" s="12" t="str"/>
      <x:c r="I255" s="12" t="str"/>
      <x:c r="J255" s="12" t="str">
        <x:v>50%</x:v>
      </x:c>
      <x:c r="K255" s="12" t="str">
        <x:v>低</x:v>
      </x:c>
      <x:c r="L255" s="12" t="str">
        <x:v>保留为Auto候选</x:v>
      </x:c>
      <x:c r="M255" s="12" t="str">
        <x:v>者净利润的 50%。如果公司股价已经不满足启动稳定公 司股价措施的条件的，公司可不再实施向不特定合格投资 者回购股份。回购股份后，公司的股权分布应当符合北交 所上市条件。公司以法律法规允许的交易方式向不特定合 格投资者回购公司股份应符合《中华人民共和国公司法》 《中华人民共和国证券法》《全国中小企业股份转让系统 股票交易规则》等法律、法规、规范性文件的...</x:v>
      </x:c>
    </x:row>
    <x:row r="256" ht="38" customHeight="1">
      <x:c r="A256" s="12" t="str">
        <x:v>W13-920304-017</x:v>
      </x:c>
      <x:c r="B256" s="12" t="str">
        <x:v>920304</x:v>
      </x:c>
      <x:c r="C256" s="12" t="str">
        <x:v>迪尔化工</x:v>
      </x:c>
      <x:c r="D256" s="12" t="str">
        <x:v>股权快照</x:v>
      </x:c>
      <x:c r="E256" s="12" t="n">
        <x:v>12</x:v>
      </x:c>
      <x:c r="F256" s="12" t="str">
        <x:v>持股比例</x:v>
      </x:c>
      <x:c r="G256" s="12" t="str">
        <x:v>2001 年 5 月 21 日</x:v>
      </x:c>
      <x:c r="H256" s="12" t="str"/>
      <x:c r="I256" s="12" t="str"/>
      <x:c r="J256" s="12" t="str">
        <x:v>30%</x:v>
      </x:c>
      <x:c r="K256" s="12" t="str">
        <x:v>中</x:v>
      </x:c>
      <x:c r="L256" s="12" t="str">
        <x:v>保留为Auto候选</x:v>
      </x:c>
      <x:c r="M256" s="12" t="str">
        <x:v>控制人的情况 （一）发行人情况 发行人成立于 2001 年 5 月 21 日，自成立以来，一直从事硝酸及其下游硝酸钾、硝酸镁、硝基 水溶肥的研发、生产和销售，产品广泛应用于光热发电及储能、化工、化肥、军工、电子元件制造 等领域。 （二）控股股东情况 截至本招股说明书签署日， 发行人不存在单一持股比例超过30%或能够对股东大会决议施加重 大影响的单一股东...</x:v>
      </x:c>
    </x:row>
    <x:row r="257" ht="38" customHeight="1">
      <x:c r="A257" s="12" t="str">
        <x:v>W13-920304-018</x:v>
      </x:c>
      <x:c r="B257" s="12" t="str">
        <x:v>920304</x:v>
      </x:c>
      <x:c r="C257" s="12" t="str">
        <x:v>迪尔化工</x:v>
      </x:c>
      <x:c r="D257" s="12" t="str">
        <x:v>股权快照</x:v>
      </x:c>
      <x:c r="E257" s="12" t="n">
        <x:v>28</x:v>
      </x:c>
      <x:c r="F257" s="12" t="str">
        <x:v>持股比例</x:v>
      </x:c>
      <x:c r="G257" s="12" t="str">
        <x:v>2022 年 9 月 30 日</x:v>
      </x:c>
      <x:c r="H257" s="12" t="str"/>
      <x:c r="I257" s="12" t="str"/>
      <x:c r="J257" s="12" t="str">
        <x:v>30%</x:v>
      </x:c>
      <x:c r="K257" s="12" t="str">
        <x:v>中</x:v>
      </x:c>
      <x:c r="L257" s="12" t="str">
        <x:v>保留为Auto候选</x:v>
      </x:c>
      <x:c r="M257" s="12" t="str">
        <x:v>年 5 月 15 日召开的 2021 年年度股东大会审议通 过 三、 发行人的股权结构 截至 2022 年 9 月 30 日，发行人股权结构如下： 四、 发行人股东及实际控制人情况 （一） 控股股东、实际控制人情况 1、控股股东情况 截至本招股说明书签署日， 发行人不存在单一持股比例超过30%或对股东大会的决议产生重大 影响的单一股东，发行人无控股股东...</x:v>
      </x:c>
    </x:row>
    <x:row r="258" ht="38" customHeight="1">
      <x:c r="A258" s="12" t="str">
        <x:v>W13-920304-019</x:v>
      </x:c>
      <x:c r="B258" s="12" t="str">
        <x:v>920304</x:v>
      </x:c>
      <x:c r="C258" s="12" t="str">
        <x:v>迪尔化工</x:v>
      </x:c>
      <x:c r="D258" s="12" t="str">
        <x:v>股权快照</x:v>
      </x:c>
      <x:c r="E258" s="12" t="n">
        <x:v>30</x:v>
      </x:c>
      <x:c r="F258" s="12" t="str">
        <x:v>持股比例</x:v>
      </x:c>
      <x:c r="G258" s="12" t="str">
        <x:v>2022 年 6 月 30 日</x:v>
      </x:c>
      <x:c r="H258" s="12" t="str"/>
      <x:c r="I258" s="12" t="str">
        <x:v>20,552,480 股</x:v>
      </x:c>
      <x:c r="J258" s="12" t="str">
        <x:v>61.00%</x:v>
      </x:c>
      <x:c r="K258" s="12" t="str">
        <x:v>中</x:v>
      </x:c>
      <x:c r="L258" s="12" t="str">
        <x:v>保留为Auto候选</x:v>
      </x:c>
      <x:c r="M258" s="12" t="str">
        <x:v>9 室 经营范围 实业投资、投资管理、房地产开发、化工产品（除危险化学品、易制 毒化学品、烟花爆竹制品）。（依法须经批准的项目，经相关部门批 准后方可开展经营活动） 主营业务与发行人业务 之间的关系 主要从事投资、房地产开发等业务，与发行人的主营业务不相关。 截至本招股说明书签署之日，该公司持股比例和股本如下： 序号 股东名称 持股比例 股本(万元) ...</x:v>
      </x:c>
    </x:row>
    <x:row r="259" ht="38" customHeight="1">
      <x:c r="A259" s="12" t="str">
        <x:v>W13-920304-020</x:v>
      </x:c>
      <x:c r="B259" s="12" t="str">
        <x:v>920304</x:v>
      </x:c>
      <x:c r="C259" s="12" t="str">
        <x:v>迪尔化工</x:v>
      </x:c>
      <x:c r="D259" s="12" t="str">
        <x:v>股权快照</x:v>
      </x:c>
      <x:c r="E259" s="12" t="n">
        <x:v>31</x:v>
      </x:c>
      <x:c r="F259" s="12" t="str">
        <x:v>持股比例</x:v>
      </x:c>
      <x:c r="G259" s="12" t="str">
        <x:v>2022 年 6 月 30 日</x:v>
      </x:c>
      <x:c r="H259" s="12" t="str"/>
      <x:c r="I259" s="12" t="str">
        <x:v>13,095,940 股</x:v>
      </x:c>
      <x:c r="J259" s="12" t="str">
        <x:v>34.0004%</x:v>
      </x:c>
      <x:c r="K259" s="12" t="str">
        <x:v>高</x:v>
      </x:c>
      <x:c r="L259" s="12" t="str">
        <x:v>保留为Auto候选</x:v>
      </x:c>
      <x:c r="M259" s="12" t="str">
        <x:v>相关技术的服务；进出口业务（进出口国营贸易管理货物除 外）；（以下限分公司经营）化学肥料生产销售。（依法须经批准的 项目，经相关部门批准后方可开展经营活动） 主营业务与发行人业务 之间的关系 主要从事农药、精细化工等业务，发行人的主要产品稀硝酸为其原料 之一。 截至本招股说明书签署之日，该公司持股比例和股本如下： 序号 股东名称 持股比例 股本(万元)...</x:v>
      </x:c>
    </x:row>
    <x:row r="260" ht="38" customHeight="1">
      <x:c r="A260" s="12" t="str">
        <x:v>W13-920304-021</x:v>
      </x:c>
      <x:c r="B260" s="12" t="str">
        <x:v>920304</x:v>
      </x:c>
      <x:c r="C260" s="12" t="str">
        <x:v>迪尔化工</x:v>
      </x:c>
      <x:c r="D260" s="12" t="str">
        <x:v>股权快照</x:v>
      </x:c>
      <x:c r="E260" s="12" t="n">
        <x:v>34</x:v>
      </x:c>
      <x:c r="F260" s="12" t="str">
        <x:v>股本结构</x:v>
      </x:c>
      <x:c r="G260" s="12" t="str">
        <x:v>2022 年 9 月 1 日</x:v>
      </x:c>
      <x:c r="H260" s="12" t="str"/>
      <x:c r="I260" s="12" t="str">
        <x:v>12,778.80 万股</x:v>
      </x:c>
      <x:c r="J260" s="12" t="str">
        <x:v>100.00%</x:v>
      </x:c>
      <x:c r="K260" s="12" t="str">
        <x:v>中</x:v>
      </x:c>
      <x:c r="L260" s="12" t="str">
        <x:v>保留为Auto候选</x:v>
      </x:c>
      <x:c r="M260" s="12" t="str">
        <x:v>东迪兴检测科技有 限公司（迪尔集团持 股 100.00%） - - 注：济宁山安工贸有限公司已于 2022 年 9 月 1 日注销、泗水万紫千红菌业科技示范有限公司 已于 2022 年 8 月 29 日注销，该两公司已完成税务注销、工商注销。 五、 发行人股本情况 （一） 本次发行前后的股本结构情况 本次发行前，公司总股本为 12,778.80 万股，...</x:v>
      </x:c>
    </x:row>
    <x:row r="261" ht="38" customHeight="1">
      <x:c r="A261" s="12" t="str">
        <x:v>W13-920304-022</x:v>
      </x:c>
      <x:c r="B261" s="12" t="str">
        <x:v>920304</x:v>
      </x:c>
      <x:c r="C261" s="12" t="str">
        <x:v>迪尔化工</x:v>
      </x:c>
      <x:c r="D261" s="12" t="str">
        <x:v>股权快照</x:v>
      </x:c>
      <x:c r="E261" s="12" t="n">
        <x:v>40</x:v>
      </x:c>
      <x:c r="F261" s="12" t="str">
        <x:v>持股数量</x:v>
      </x:c>
      <x:c r="G261" s="12" t="str">
        <x:v>2004 年 4 月</x:v>
      </x:c>
      <x:c r="H261" s="12" t="str"/>
      <x:c r="I261" s="12" t="str"/>
      <x:c r="J261" s="12" t="str"/>
      <x:c r="K261" s="12" t="str">
        <x:v>中</x:v>
      </x:c>
      <x:c r="L261" s="12" t="str">
        <x:v>保留为Auto候选</x:v>
      </x:c>
      <x:c r="M261" s="12" t="str">
        <x:v>员；2004 年 4 月至今，历 任公司技术员、生产部经理、工艺总监、副总经理。 （二） 直接或间接持有发行人股份的情况 1、公司董事、监事、高级管理人员直接或间接持股情况 截至 2022 年 6 月 30 日，公司董事、监事、高级管理人员直接或间接持股情况如下： 姓名 职务 持股方式 持股数量（股） 持股比例（%） 孙立辉 董事长 直接持股 13,0...</x:v>
      </x:c>
    </x:row>
    <x:row r="262" ht="38" customHeight="1">
      <x:c r="A262" s="12" t="str">
        <x:v>W13-920304-023</x:v>
      </x:c>
      <x:c r="B262" s="12" t="str">
        <x:v>920304</x:v>
      </x:c>
      <x:c r="C262" s="12" t="str">
        <x:v>迪尔化工</x:v>
      </x:c>
      <x:c r="D262" s="12" t="str">
        <x:v>股权快照</x:v>
      </x:c>
      <x:c r="E262" s="12" t="n">
        <x:v>41</x:v>
      </x:c>
      <x:c r="F262" s="12" t="str">
        <x:v>持股比例</x:v>
      </x:c>
      <x:c r="G262" s="12" t="str"/>
      <x:c r="H262" s="12" t="str"/>
      <x:c r="I262" s="12" t="str"/>
      <x:c r="J262" s="12" t="str"/>
      <x:c r="K262" s="12" t="str">
        <x:v>中</x:v>
      </x:c>
      <x:c r="L262" s="12" t="str">
        <x:v>保留为Auto候选</x:v>
      </x:c>
      <x:c r="M262" s="12" t="str">
        <x:v>1-1-40 姓名 职务 被投资企业名称 投资金额（万元） 持股比例（%） 刘西玉 董事 兴迪尔 4,066.48 61.00 山东兴迪尔置业集团有限 公司 1,080.00 10.80 山东高新迪尔投资有限公 司 1,676.09 27.93 山东万紫园旅游开发有限 公司 450.00 2.81 曲阜东方圣城文化传播有 限公司 30.00 2.98 ...</x:v>
      </x:c>
    </x:row>
    <x:row r="263" ht="38" customHeight="1">
      <x:c r="A263" s="12" t="str">
        <x:v>W13-920304-024</x:v>
      </x:c>
      <x:c r="B263" s="12" t="str">
        <x:v>920304</x:v>
      </x:c>
      <x:c r="C263" s="12" t="str">
        <x:v>迪尔化工</x:v>
      </x:c>
      <x:c r="D263" s="12" t="str">
        <x:v>股权快照</x:v>
      </x:c>
      <x:c r="E263" s="12" t="n">
        <x:v>105</x:v>
      </x:c>
      <x:c r="F263" s="12" t="str">
        <x:v>持股数量</x:v>
      </x:c>
      <x:c r="G263" s="12" t="str"/>
      <x:c r="H263" s="12" t="str"/>
      <x:c r="I263" s="12" t="str"/>
      <x:c r="J263" s="12" t="str">
        <x:v>3.19%</x:v>
      </x:c>
      <x:c r="K263" s="12" t="str">
        <x:v>低</x:v>
      </x:c>
      <x:c r="L263" s="12" t="str">
        <x:v>保留为Auto候选</x:v>
      </x:c>
      <x:c r="M263" s="12" t="str">
        <x:v>装置等工作， 为实现装置安 全稳定运行、降低生产装置运行成本，做出了突出贡献。 （3）核心技术人员持股情况、对外投资及兼职情况 公司核心技术人员专职在公司工作多年， 除持有发行人股份外， 均不存在对外投资及在外兼职 情况。 截至本说明书签署日，核心技术人员持有公司股份情况如下表所示： 姓名 持股数量（股） 持股比例 高斌 4,076,600 3.19%...</x:v>
      </x:c>
    </x:row>
    <x:row r="264" ht="38" customHeight="1">
      <x:c r="A264" s="12" t="str">
        <x:v>W13-920304-025</x:v>
      </x:c>
      <x:c r="B264" s="12" t="str">
        <x:v>920304</x:v>
      </x:c>
      <x:c r="C264" s="12" t="str">
        <x:v>迪尔化工</x:v>
      </x:c>
      <x:c r="D264" s="12" t="str">
        <x:v>特殊投资条款</x:v>
      </x:c>
      <x:c r="E264" s="12" t="n">
        <x:v>46</x:v>
      </x:c>
      <x:c r="F264" s="12" t="str">
        <x:v>对赌</x:v>
      </x:c>
      <x:c r="G264" s="12" t="str">
        <x:v>2022 年 8 月 18 日</x:v>
      </x:c>
      <x:c r="H264" s="12" t="str"/>
      <x:c r="I264" s="12" t="str"/>
      <x:c r="J264" s="12" t="str"/>
      <x:c r="K264" s="12" t="str">
        <x:v>中</x:v>
      </x:c>
      <x:c r="L264" s="12" t="str">
        <x:v>保留为Auto候选</x:v>
      </x:c>
      <x:c r="M264" s="12" t="str">
        <x:v>2、截至本声明出具之日，本人所持股 份不存在质押、查封、冻结等权利受限情况，不在该部分 股份之上设定担保或其他足以影响本人充分行使基于该部 分股份所产生之权益的限制，亦不存在其他导致权属纠纷 和潜在纠纷的情形。3、截至本声明出具之日，本人与公司 及公司其他股东、董事、监事、高级管理人员之间均不存 在对赌协议等特殊协议或特殊利益安排，亦不存在纠纷或 潜在...</x:v>
      </x:c>
    </x:row>
    <x:row r="265" ht="38" customHeight="1">
      <x:c r="A265" s="12" t="str">
        <x:v>W13-920304-026</x:v>
      </x:c>
      <x:c r="B265" s="12" t="str">
        <x:v>920304</x:v>
      </x:c>
      <x:c r="C265" s="12" t="str">
        <x:v>迪尔化工</x:v>
      </x:c>
      <x:c r="D265" s="12" t="str">
        <x:v>特殊投资条款</x:v>
      </x:c>
      <x:c r="E265" s="12" t="n">
        <x:v>47</x:v>
      </x:c>
      <x:c r="F265" s="12" t="str">
        <x:v>对赌</x:v>
      </x:c>
      <x:c r="G265" s="12" t="str">
        <x:v>2022 年 8 月 18 日</x:v>
      </x:c>
      <x:c r="H265" s="12" t="str"/>
      <x:c r="I265" s="12" t="str"/>
      <x:c r="J265" s="12" t="str"/>
      <x:c r="K265" s="12" t="str">
        <x:v>中</x:v>
      </x:c>
      <x:c r="L265" s="12" t="str">
        <x:v>保留为Auto候选</x:v>
      </x:c>
      <x:c r="M265" s="12" t="str">
        <x:v>1-1-46 及公司其他股东、实际控制人、董事、监事、高级管理人 员之间均不存在对赌协议等特殊协议或特殊利益安排，亦 不存在纠纷或潜在纠纷；除已披露的情形外，本人与公司 其他股东之间不存在未披露的关联关系。4、2019 年至今， 本人不存在任何重大违法违规行为， 也未受到任何部门的 处罚；截至本声明出具之日，本人不存在尚未了结或可预 见的重大诉讼、仲裁...</x:v>
      </x:c>
    </x:row>
    <x:row r="266" ht="38" customHeight="1">
      <x:c r="A266" s="12" t="str">
        <x:v>W13-920008-001</x:v>
      </x:c>
      <x:c r="B266" s="12" t="str">
        <x:v>920008</x:v>
      </x:c>
      <x:c r="C266" s="12" t="str">
        <x:v>成电光信</x:v>
      </x:c>
      <x:c r="D266" s="12" t="str">
        <x:v>股权转让</x:v>
      </x:c>
      <x:c r="E266" s="12" t="n">
        <x:v>40</x:v>
      </x:c>
      <x:c r="F266" s="12" t="str">
        <x:v>股权转让</x:v>
      </x:c>
      <x:c r="G266" s="12" t="str">
        <x:v>2017 年 10 月 26 日</x:v>
      </x:c>
      <x:c r="H266" s="12" t="str">
        <x:v>6.00 元</x:v>
      </x:c>
      <x:c r="I266" s="12" t="str">
        <x:v>1,000,000 股</x:v>
      </x:c>
      <x:c r="J266" s="12" t="str"/>
      <x:c r="K266" s="12" t="str">
        <x:v>中</x:v>
      </x:c>
      <x:c r="L266" s="12" t="str">
        <x:v>保留为Auto候选</x:v>
      </x:c>
      <x:c r="M266" s="12" t="str">
        <x:v>第八条关于“本轮的优先转让权”之约定， 终止 《投资协议》 第10.2 条关于“反稀释约定”之约定，终止《投资协议》第 10.3 条关于“优先购买权”之约定。 2、2017 年隼睿投资减持涉及的对赌情况 2017 年 10 月 26 日， 隼睿投资与自然人王梁签订 《成都成电光信科技股份有限公司股权转让协 议》，隼睿投资拟向王梁转让股份 1,000,0...</x:v>
      </x:c>
    </x:row>
    <x:row r="267" ht="38" customHeight="1">
      <x:c r="A267" s="12" t="str">
        <x:v>W13-920008-002</x:v>
      </x:c>
      <x:c r="B267" s="12" t="str">
        <x:v>920008</x:v>
      </x:c>
      <x:c r="C267" s="12" t="str">
        <x:v>成电光信</x:v>
      </x:c>
      <x:c r="D267" s="12" t="str">
        <x:v>股权转让</x:v>
      </x:c>
      <x:c r="E267" s="12" t="n">
        <x:v>38</x:v>
      </x:c>
      <x:c r="F267" s="12" t="str">
        <x:v>股份转让</x:v>
      </x:c>
      <x:c r="G267" s="12" t="str">
        <x:v>2011 年 5 月 28 日</x:v>
      </x:c>
      <x:c r="H267" s="12" t="str">
        <x:v>160 万元</x:v>
      </x:c>
      <x:c r="I267" s="12" t="str"/>
      <x:c r="J267" s="12" t="str"/>
      <x:c r="K267" s="12" t="str">
        <x:v>中</x:v>
      </x:c>
      <x:c r="L267" s="12" t="str">
        <x:v>保留为Auto候选</x:v>
      </x:c>
      <x:c r="M267" s="12" t="str">
        <x:v>（三） 主要股东间关联关系的具体情况 序号 关联方股东名称 关联关系描述 1 付美与付彬 姐弟关系 （四） 其他披露事项 公司历史上曾存在股权代持的情况，具体情况如下： 1、有限公司阶段 公司在有限公司阶段曾存在股权代持情况，但股权代持已经解除，公司已在 2014 年申请股票 在全国股份转让系统挂牌并公开转让时，披露前述股权代持的形成和解除情况，基本情...</x:v>
      </x:c>
    </x:row>
    <x:row r="268" ht="38" customHeight="1">
      <x:c r="A268" s="12" t="str">
        <x:v>W13-920008-003</x:v>
      </x:c>
      <x:c r="B268" s="12" t="str">
        <x:v>920008</x:v>
      </x:c>
      <x:c r="C268" s="12" t="str">
        <x:v>成电光信</x:v>
      </x:c>
      <x:c r="D268" s="12" t="str">
        <x:v>股权转让</x:v>
      </x:c>
      <x:c r="E268" s="12" t="n">
        <x:v>41</x:v>
      </x:c>
      <x:c r="F268" s="12" t="str">
        <x:v>股权转让</x:v>
      </x:c>
      <x:c r="G268" s="12" t="str">
        <x:v>2017 年 10 月 26 日</x:v>
      </x:c>
      <x:c r="H268" s="12" t="str">
        <x:v>6.00 元</x:v>
      </x:c>
      <x:c r="I268" s="12" t="str">
        <x:v>5,000,000 股</x:v>
      </x:c>
      <x:c r="J268" s="12" t="str"/>
      <x:c r="K268" s="12" t="str">
        <x:v>中</x:v>
      </x:c>
      <x:c r="L268" s="12" t="str">
        <x:v>保留为Auto候选</x:v>
      </x:c>
      <x:c r="M268" s="12" t="str">
        <x:v>1-1-40 5,000,000 股，交易价格为 6.00 元/股。 2017 年 10 月 26 日，公司实际控制人邱昆、解军和付美三人与上述两位投资人分别签订了《成 都成电光信科技股份有限公司股权转让协议之补充协议》，协议各方对于利润承诺、补偿安排等进 行了约定，详见公司 2017 年 10 月 30 日披露的《关于第一大股东拟转让股份的提示性公告...</x:v>
      </x:c>
    </x:row>
    <x:row r="269" ht="38" customHeight="1">
      <x:c r="A269" s="12" t="str">
        <x:v>W13-920008-004</x:v>
      </x:c>
      <x:c r="B269" s="12" t="str">
        <x:v>920008</x:v>
      </x:c>
      <x:c r="C269" s="12" t="str">
        <x:v>成电光信</x:v>
      </x:c>
      <x:c r="D269" s="12" t="str">
        <x:v>股权转让</x:v>
      </x:c>
      <x:c r="E269" s="12" t="n">
        <x:v>12</x:v>
      </x:c>
      <x:c r="F269" s="12" t="str">
        <x:v>股份转让</x:v>
      </x:c>
      <x:c r="G269" s="12" t="str"/>
      <x:c r="H269" s="12" t="str"/>
      <x:c r="I269" s="12" t="str"/>
      <x:c r="J269" s="12" t="str"/>
      <x:c r="K269" s="12" t="str">
        <x:v>低</x:v>
      </x:c>
      <x:c r="L269" s="12" t="str">
        <x:v>排除为转让系统语境</x:v>
      </x:c>
      <x:c r="M269" s="12" t="str">
        <x:v>京全信传输科技股份有限公司 旋极信息 指 北京旋极信息技术股份有限公司 利亚德 指 利亚德光电股份有限公司 智明达 指 成都智明达电子股份有限公司 工信部 指 中华人民共和国工业和信息化部 国家发改委 指 中华人民共和国国家发展和改革委员会 国防科工局 指 国家国防科技工业局 全国股份转让系统 指 全国中小企业股份转让系统 全国股转公司 指 全国中小企...</x:v>
      </x:c>
    </x:row>
    <x:row r="270" ht="38" customHeight="1">
      <x:c r="A270" s="12" t="str">
        <x:v>W13-920008-005</x:v>
      </x:c>
      <x:c r="B270" s="12" t="str">
        <x:v>920008</x:v>
      </x:c>
      <x:c r="C270" s="12" t="str">
        <x:v>成电光信</x:v>
      </x:c>
      <x:c r="D270" s="12" t="str">
        <x:v>股权转让</x:v>
      </x:c>
      <x:c r="E270" s="12" t="n">
        <x:v>39</x:v>
      </x:c>
      <x:c r="F270" s="12" t="str">
        <x:v>股份转让</x:v>
      </x:c>
      <x:c r="G270" s="12" t="str"/>
      <x:c r="H270" s="12" t="str"/>
      <x:c r="I270" s="12" t="str"/>
      <x:c r="J270" s="12" t="str"/>
      <x:c r="K270" s="12" t="str">
        <x:v>低</x:v>
      </x:c>
      <x:c r="L270" s="12" t="str">
        <x:v>保留为Auto候选</x:v>
      </x:c>
      <x:c r="M270" s="12" t="str">
        <x:v>1-1-38 电光信有限股权代持解除。 2、挂牌期间的股份代持及清理 公司股票在全国股份转让系统挂牌期间，由于部分被代持人不具备新三板开户资格及出于交易 便利性等原因考虑，被代持人范勤、冯军、黄本川、李莉、刘兴利、瓢莉蓉、乔玉萍、饶茜、王满 霞委托代持人在二级市场购买公司股份。上述股份代持的形成及清理过程如下： 代持人 被代持人 代持形成 时间 代持股...</x:v>
      </x:c>
    </x:row>
    <x:row r="271" ht="38" customHeight="1">
      <x:c r="A271" s="12" t="str">
        <x:v>W13-920008-006</x:v>
      </x:c>
      <x:c r="B271" s="12" t="str">
        <x:v>920008</x:v>
      </x:c>
      <x:c r="C271" s="12" t="str">
        <x:v>成电光信</x:v>
      </x:c>
      <x:c r="D271" s="12" t="str">
        <x:v>股权转让</x:v>
      </x:c>
      <x:c r="E271" s="12" t="n">
        <x:v>53</x:v>
      </x:c>
      <x:c r="F271" s="12" t="str">
        <x:v>大宗交易</x:v>
      </x:c>
      <x:c r="G271" s="12" t="str"/>
      <x:c r="H271" s="12" t="str"/>
      <x:c r="I271" s="12" t="str"/>
      <x:c r="J271" s="12" t="str">
        <x:v>5%</x:v>
      </x:c>
      <x:c r="K271" s="12" t="str">
        <x:v>低</x:v>
      </x:c>
      <x:c r="L271" s="12" t="str">
        <x:v>保留为Auto候选</x:v>
      </x:c>
      <x:c r="M271" s="12" t="str">
        <x:v>持有的发行人全部股份在锁定期满后 24 个月内减持的，减持价格不低于 发行价（如果因派发现金红利、送股、转增股本、增发新股等原因进行除权、除息的，减持底价作 相应调整） 。 六、本人于本次向不特定合格投资者公开发行股票前所持有的公司股票，在股票锁定期满后， 将通过包括但不限于二级市场集中竞价交易、大宗交易方式、协议转让等北京证券交易所认可的合 法方式按...</x:v>
      </x:c>
    </x:row>
    <x:row r="272" ht="38" customHeight="1">
      <x:c r="A272" s="12" t="str">
        <x:v>W13-920008-007</x:v>
      </x:c>
      <x:c r="B272" s="12" t="str">
        <x:v>920008</x:v>
      </x:c>
      <x:c r="C272" s="12" t="str">
        <x:v>成电光信</x:v>
      </x:c>
      <x:c r="D272" s="12" t="str">
        <x:v>股权转让</x:v>
      </x:c>
      <x:c r="E272" s="12" t="n">
        <x:v>54</x:v>
      </x:c>
      <x:c r="F272" s="12" t="str">
        <x:v>大宗交易</x:v>
      </x:c>
      <x:c r="G272" s="12" t="str"/>
      <x:c r="H272" s="12" t="str"/>
      <x:c r="I272" s="12" t="str"/>
      <x:c r="J272" s="12" t="str"/>
      <x:c r="K272" s="12" t="str">
        <x:v>低</x:v>
      </x:c>
      <x:c r="L272" s="12" t="str">
        <x:v>保留为Auto候选</x:v>
      </x:c>
      <x:c r="M272" s="12" t="str">
        <x:v>锁定期满后 2 年内减持的，减持价格不低于发行 价（如果因派发现金红利、送股、转增股本、增发新股等原因进行除权、除息的，须按照北京证券 交易所的有关规定作相应价格调整） 。 五、本人于本次向不特定合格投资者公开发行股票前所持有的公司股票，在股票锁定期满后， 将通过包括但不限于二级市场集中竞价交易、大宗交易方式、协议转让等北京证券交易所认可的合 法方式按...</x:v>
      </x:c>
    </x:row>
    <x:row r="273" ht="38" customHeight="1">
      <x:c r="A273" s="12" t="str">
        <x:v>W13-920008-008</x:v>
      </x:c>
      <x:c r="B273" s="12" t="str">
        <x:v>920008</x:v>
      </x:c>
      <x:c r="C273" s="12" t="str">
        <x:v>成电光信</x:v>
      </x:c>
      <x:c r="D273" s="12" t="str">
        <x:v>股权转让</x:v>
      </x:c>
      <x:c r="E273" s="12" t="n">
        <x:v>55</x:v>
      </x:c>
      <x:c r="F273" s="12" t="str">
        <x:v>大宗交易</x:v>
      </x:c>
      <x:c r="G273" s="12" t="str"/>
      <x:c r="H273" s="12" t="str"/>
      <x:c r="I273" s="12" t="str"/>
      <x:c r="J273" s="12" t="str">
        <x:v>25%</x:v>
      </x:c>
      <x:c r="K273" s="12" t="str">
        <x:v>低</x:v>
      </x:c>
      <x:c r="L273" s="12" t="str">
        <x:v>保留为Auto候选</x:v>
      </x:c>
      <x:c r="M273" s="12" t="str">
        <x:v>满后，如本人担任发行人董事、监事或高级管理人员职务，则在任职期间每 年转让的股份不超过本人持有的发行人股份总数的 25%；离职后 6 个月内，不转让本人持有的发行 人股份。 三、本人于本次向不特定合格投资者公开发行股票前所持有的公司股票，在股票锁定期满后， 将通过包括但不限于二级市场集中竞价交易、大宗交易方式、协议转让等北京证券交易所认可的合 法方式按...</x:v>
      </x:c>
    </x:row>
    <x:row r="274" ht="38" customHeight="1">
      <x:c r="A274" s="12" t="str">
        <x:v>W13-920008-009</x:v>
      </x:c>
      <x:c r="B274" s="12" t="str">
        <x:v>920008</x:v>
      </x:c>
      <x:c r="C274" s="12" t="str">
        <x:v>成电光信</x:v>
      </x:c>
      <x:c r="D274" s="12" t="str">
        <x:v>股权快照</x:v>
      </x:c>
      <x:c r="E274" s="12" t="n">
        <x:v>40</x:v>
      </x:c>
      <x:c r="F274" s="12" t="str">
        <x:v>持股比例</x:v>
      </x:c>
      <x:c r="G274" s="12" t="str">
        <x:v>2014 年 7 月</x:v>
      </x:c>
      <x:c r="H274" s="12" t="str"/>
      <x:c r="I274" s="12" t="str">
        <x:v>1,055,000 股</x:v>
      </x:c>
      <x:c r="J274" s="12" t="str">
        <x:v>1.98%</x:v>
      </x:c>
      <x:c r="K274" s="12" t="str">
        <x:v>高</x:v>
      </x:c>
      <x:c r="L274" s="12" t="str">
        <x:v>保留为Auto候选</x:v>
      </x:c>
      <x:c r="M274" s="12" t="str">
        <x:v>致股本 和股票价格变动的影响）回购其尚未解除限售的股票；对于激励对象在锁定期内离职的，公司有权 按照授予价格回购其尚未解除限售的股票。 因此，如有激励对象未完成绩效考核或离职，将会造成公司股权结构变动。截至本招股说明书 签署日，上述 13 名激励对象合计持有公司限制性股票 1,055,000 股，持股比例为 1.98%，激励对象 持股较为分散且持股比例...</x:v>
      </x:c>
    </x:row>
    <x:row r="275" ht="38" customHeight="1">
      <x:c r="A275" s="12" t="str">
        <x:v>W13-920008-010</x:v>
      </x:c>
      <x:c r="B275" s="12" t="str">
        <x:v>920008</x:v>
      </x:c>
      <x:c r="C275" s="12" t="str">
        <x:v>成电光信</x:v>
      </x:c>
      <x:c r="D275" s="12" t="str">
        <x:v>股权快照</x:v>
      </x:c>
      <x:c r="E275" s="12" t="n">
        <x:v>5</x:v>
      </x:c>
      <x:c r="F275" s="12" t="str">
        <x:v>持股比例</x:v>
      </x:c>
      <x:c r="G275" s="12" t="str"/>
      <x:c r="H275" s="12" t="str"/>
      <x:c r="I275" s="12" t="str"/>
      <x:c r="J275" s="12" t="str"/>
      <x:c r="K275" s="12" t="str">
        <x:v>低</x:v>
      </x:c>
      <x:c r="L275" s="12" t="str">
        <x:v>保留为Auto候选</x:v>
      </x:c>
      <x:c r="M275" s="12" t="str">
        <x:v>承诺、关于招股说明书不存在虚假记载、误导性陈述或 者重大遗漏的声明与承诺以及相关责任主体承诺事项的约束措施等， 详见本招股说明书“第四节 发 行人基本情况”之“九、重要承诺”。 二、关于发行前滚存利润的分配安排 为兼顾新老股东的利益，公司在本次公开发行股票完成后，滚存的未分配利润将由新老股东按 持股比例共同享有。 三、特别风险提示 公司提醒投资者认真阅...</x:v>
      </x:c>
    </x:row>
    <x:row r="276" ht="38" customHeight="1">
      <x:c r="A276" s="12" t="str">
        <x:v>W13-920008-011</x:v>
      </x:c>
      <x:c r="B276" s="12" t="str">
        <x:v>920008</x:v>
      </x:c>
      <x:c r="C276" s="12" t="str">
        <x:v>成电光信</x:v>
      </x:c>
      <x:c r="D276" s="12" t="str">
        <x:v>股权快照</x:v>
      </x:c>
      <x:c r="E276" s="12" t="n">
        <x:v>29</x:v>
      </x:c>
      <x:c r="F276" s="12" t="str">
        <x:v>持股比例</x:v>
      </x:c>
      <x:c r="G276" s="12" t="str"/>
      <x:c r="H276" s="12" t="str"/>
      <x:c r="I276" s="12" t="str"/>
      <x:c r="J276" s="12" t="str">
        <x:v>46.53%</x:v>
      </x:c>
      <x:c r="K276" s="12" t="str">
        <x:v>低</x:v>
      </x:c>
      <x:c r="L276" s="12" t="str">
        <x:v>保留为Auto候选</x:v>
      </x:c>
      <x:c r="M276" s="12" t="str">
        <x:v>，若行业竞争格局或技术 路线发生重大不利变化、客户扩展不及预期、竞争加剧导致单价下行或销量不及预期等原因，可能 导致公司未来存在一定的产能消化风险。 六、发行失败风险 公司目前股东人数较少，股票市值以及交易活跃度较低。如果公司本次公开发行出现发行股份 数量、发行对象人数、发行后股东人数、公众股东持股比例等不符合北交所上市条件或者北交所规 定的其他条件的...</x:v>
      </x:c>
    </x:row>
    <x:row r="277" ht="38" customHeight="1">
      <x:c r="A277" s="12" t="str">
        <x:v>W13-920008-012</x:v>
      </x:c>
      <x:c r="B277" s="12" t="str">
        <x:v>920008</x:v>
      </x:c>
      <x:c r="C277" s="12" t="str">
        <x:v>成电光信</x:v>
      </x:c>
      <x:c r="D277" s="12" t="str">
        <x:v>股权快照</x:v>
      </x:c>
      <x:c r="E277" s="12" t="n">
        <x:v>35</x:v>
      </x:c>
      <x:c r="F277" s="12" t="str">
        <x:v>持股数量</x:v>
      </x:c>
      <x:c r="G277" s="12" t="str">
        <x:v>2007 年 12 月 3 日</x:v>
      </x:c>
      <x:c r="H277" s="12" t="str">
        <x:v>5,000 万元</x:v>
      </x:c>
      <x:c r="I277" s="12" t="str"/>
      <x:c r="J277" s="12" t="str">
        <x:v>5%</x:v>
      </x:c>
      <x:c r="K277" s="12" t="str">
        <x:v>中</x:v>
      </x:c>
      <x:c r="L277" s="12" t="str">
        <x:v>保留为Auto候选</x:v>
      </x:c>
      <x:c r="M277" s="12" t="str">
        <x:v>；若任何一 方向其他方书面提出终止一致行动关系， 则自 《一致行动协议》 有效期限届满且经公司发布公告后， 一致行动关系终止。 （二） 持有发行人 5%以上股份的其他主要股东 截至本招股说明书签署日，除实际控制人外，公司其他持股 5%以上股份或表决权的股东基本 情况如下： 序号 股东名称 持股数量（股） 持股比例 1 鲍永明 5,300,000 9.9...</x:v>
      </x:c>
    </x:row>
    <x:row r="278" ht="38" customHeight="1">
      <x:c r="A278" s="12" t="str">
        <x:v>W13-920008-013</x:v>
      </x:c>
      <x:c r="B278" s="12" t="str">
        <x:v>920008</x:v>
      </x:c>
      <x:c r="C278" s="12" t="str">
        <x:v>成电光信</x:v>
      </x:c>
      <x:c r="D278" s="12" t="str">
        <x:v>股权快照</x:v>
      </x:c>
      <x:c r="E278" s="12" t="n">
        <x:v>37</x:v>
      </x:c>
      <x:c r="F278" s="12" t="str">
        <x:v>股本结构</x:v>
      </x:c>
      <x:c r="G278" s="12" t="str"/>
      <x:c r="H278" s="12" t="str"/>
      <x:c r="I278" s="12" t="str">
        <x:v>53,170,000 股</x:v>
      </x:c>
      <x:c r="J278" s="12" t="str">
        <x:v>99.76%</x:v>
      </x:c>
      <x:c r="K278" s="12" t="str">
        <x:v>中</x:v>
      </x:c>
      <x:c r="L278" s="12" t="str">
        <x:v>保留为Auto候选</x:v>
      </x:c>
      <x:c r="M278" s="12" t="str">
        <x:v>不得从事非法集资、吸收 公众资金等金融活动） 。 与发行人主营业务关系 与发行人主营业务不存在相同或相近的情形 控制关系说明 四川信托有限公司持有 99.76%的合伙份额，隼睿咨询持有 0.24%的 合伙份额。隼睿咨询担任执行事务合伙人。 五、 发行人股本情况 （一） 本次发行前后的股本结构情况 本次公开发行前，公司的股份总数为 53,170,000 ...</x:v>
      </x:c>
    </x:row>
    <x:row r="279" ht="38" customHeight="1">
      <x:c r="A279" s="12" t="str">
        <x:v>W13-920008-014</x:v>
      </x:c>
      <x:c r="B279" s="12" t="str">
        <x:v>920008</x:v>
      </x:c>
      <x:c r="C279" s="12" t="str">
        <x:v>成电光信</x:v>
      </x:c>
      <x:c r="D279" s="12" t="str">
        <x:v>股权快照</x:v>
      </x:c>
      <x:c r="E279" s="12" t="n">
        <x:v>56</x:v>
      </x:c>
      <x:c r="F279" s="12" t="str">
        <x:v>持股比例</x:v>
      </x:c>
      <x:c r="G279" s="12" t="str"/>
      <x:c r="H279" s="12" t="str"/>
      <x:c r="I279" s="12" t="str"/>
      <x:c r="J279" s="12" t="str"/>
      <x:c r="K279" s="12" t="str">
        <x:v>低</x:v>
      </x:c>
      <x:c r="L279" s="12" t="str">
        <x:v>保留为Auto候选</x:v>
      </x:c>
      <x:c r="M279" s="12" t="str">
        <x:v>（2）如非因不可抗力致使投资者遭受损失的，公司将依法承担赔偿责任，并按照法律、法规 及相关监管机构的要求承担相应的责任； （3）如因不可抗力导致，应尽快研究将投资者利益损失降低到最小的处理方案，并提交股东 大会审议，尽可能地保护公司投资者利益； （4）如因相关法律、法规对于社会公众股股东最低持股比例的规定导致公司在一定时期内无 法履行回购义务的，公司可...</x:v>
      </x:c>
    </x:row>
    <x:row r="280" ht="38" customHeight="1">
      <x:c r="A280" s="12" t="str">
        <x:v>W13-920008-015</x:v>
      </x:c>
      <x:c r="B280" s="12" t="str">
        <x:v>920008</x:v>
      </x:c>
      <x:c r="C280" s="12" t="str">
        <x:v>成电光信</x:v>
      </x:c>
      <x:c r="D280" s="12" t="str">
        <x:v>股权快照</x:v>
      </x:c>
      <x:c r="E280" s="12" t="n">
        <x:v>137</x:v>
      </x:c>
      <x:c r="F280" s="12" t="str">
        <x:v>持股数量</x:v>
      </x:c>
      <x:c r="G280" s="12" t="str"/>
      <x:c r="H280" s="12" t="str"/>
      <x:c r="I280" s="12" t="str"/>
      <x:c r="J280" s="12" t="str">
        <x:v>2.10%</x:v>
      </x:c>
      <x:c r="K280" s="12" t="str">
        <x:v>低</x:v>
      </x:c>
      <x:c r="L280" s="12" t="str">
        <x:v>保留为Auto候选</x:v>
      </x:c>
      <x:c r="M280" s="12" t="str">
        <x:v>大学信息与通信工 程硕士 主要负责公司网络总线类研发项 目的具体实施 - 伍建彬 电子科技大学电子工程 本科 主要负责公司特种显示类、 网络总 线类研发项目的具体实施 - （2）核心技术人员持有发行人股份情况 公司核心技术人员直接或间接持有公司股份情况如下： 单位：股 序号 姓名 直接持股数量 直接持股比例 间接持股数量 间接持股比例 1 王继岷 1,...</x:v>
      </x:c>
    </x:row>
    <x:row r="281" ht="38" customHeight="1">
      <x:c r="A281" s="12" t="str">
        <x:v>W13-920008-016</x:v>
      </x:c>
      <x:c r="B281" s="12" t="str">
        <x:v>920008</x:v>
      </x:c>
      <x:c r="C281" s="12" t="str">
        <x:v>成电光信</x:v>
      </x:c>
      <x:c r="D281" s="12" t="str">
        <x:v>股权快照</x:v>
      </x:c>
      <x:c r="E281" s="12" t="n">
        <x:v>146</x:v>
      </x:c>
      <x:c r="F281" s="12" t="str">
        <x:v>持股比例</x:v>
      </x:c>
      <x:c r="G281" s="12" t="str"/>
      <x:c r="H281" s="12" t="str"/>
      <x:c r="I281" s="12" t="str"/>
      <x:c r="J281" s="12" t="str">
        <x:v>100%</x:v>
      </x:c>
      <x:c r="K281" s="12" t="str">
        <x:v>低</x:v>
      </x:c>
      <x:c r="L281" s="12" t="str">
        <x:v>保留为Auto候选</x:v>
      </x:c>
      <x:c r="M281" s="12" t="str">
        <x:v>规定，公 司的关联方及关联关系如下： 1、公司实际控制人 公司实际控制人为邱昆、解军和付美，具体情况详见本招股说明书“第四节 发行人基本情况” 之“四、发行人股东及实际控制人情况”。 2、公司实际控制人控制的其他企业 序号 名称 关联关系 1 隼睿咨询 邱昆、 解军和付美控制的公司， 三人持股比例合计为100% 2 隼睿投资 隼睿咨询担任其执行事务合伙...</x:v>
      </x:c>
    </x:row>
    <x:row r="282" ht="38" customHeight="1">
      <x:c r="A282" s="12" t="str">
        <x:v>W13-920008-017</x:v>
      </x:c>
      <x:c r="B282" s="12" t="str">
        <x:v>920008</x:v>
      </x:c>
      <x:c r="C282" s="12" t="str">
        <x:v>成电光信</x:v>
      </x:c>
      <x:c r="D282" s="12" t="str">
        <x:v>特殊投资条款</x:v>
      </x:c>
      <x:c r="E282" s="12" t="n">
        <x:v>40</x:v>
      </x:c>
      <x:c r="F282" s="12" t="str">
        <x:v>特殊投资约定</x:v>
      </x:c>
      <x:c r="G282" s="12" t="str">
        <x:v>2014 年 7 月</x:v>
      </x:c>
      <x:c r="H282" s="12" t="str">
        <x:v>6.00 元</x:v>
      </x:c>
      <x:c r="I282" s="12" t="str">
        <x:v>1,055,000 股</x:v>
      </x:c>
      <x:c r="J282" s="12" t="str">
        <x:v>1.98%</x:v>
      </x:c>
      <x:c r="K282" s="12" t="str">
        <x:v>高</x:v>
      </x:c>
      <x:c r="L282" s="12" t="str">
        <x:v>保留为Auto候选</x:v>
      </x:c>
      <x:c r="M282" s="12" t="str">
        <x:v>司股权结构变动。截至本招股说明书 签署日，上述 13 名激励对象合计持有公司限制性股票 1,055,000 股，持股比例为 1.98%，激励对象 持股较为分散且持股比例较低，个别员工未完成绩效考核或离职不会对公司股权结构造成重大影 响。 （二）发行人、控股股东、实际控制人或主要股东与其他股东签署的特殊投资约定 1、2014 年股票发行涉及的特殊投资约定...</x:v>
      </x:c>
    </x:row>
    <x:row r="283" ht="38" customHeight="1">
      <x:c r="A283" s="12" t="str">
        <x:v>W13-920008-018</x:v>
      </x:c>
      <x:c r="B283" s="12" t="str">
        <x:v>920008</x:v>
      </x:c>
      <x:c r="C283" s="12" t="str">
        <x:v>成电光信</x:v>
      </x:c>
      <x:c r="D283" s="12" t="str">
        <x:v>特殊投资条款</x:v>
      </x:c>
      <x:c r="E283" s="12" t="n">
        <x:v>41</x:v>
      </x:c>
      <x:c r="F283" s="12" t="str">
        <x:v>对赌</x:v>
      </x:c>
      <x:c r="G283" s="12" t="str"/>
      <x:c r="H283" s="12" t="str"/>
      <x:c r="I283" s="12" t="str"/>
      <x:c r="J283" s="12" t="str"/>
      <x:c r="K283" s="12" t="str">
        <x:v>低</x:v>
      </x:c>
      <x:c r="L283" s="12" t="str">
        <x:v>保留为Auto候选</x:v>
      </x:c>
      <x:c r="M283" s="12" t="str">
        <x:v>全部内容自始无效，且在任何条件下不再恢复其法律效力；除原补充协议外，各方不存在其 他任何关于股东特殊权利及回购的约定（包括但不限于口头、书面等任何约定）；各方对公司的投 资及持股、曾作出的承诺及原补充协议的履行等事项均不存在任何尚未解决的争议、纠纷，或潜在 的争议、纠纷。 综上，公司及其股东签署的对赌协议已彻底终止，各方不存在纠纷或潜在纠纷；截至本招股...</x:v>
      </x:c>
    </x:row>
    <x:row r="284" ht="38" customHeight="1">
      <x:c r="A284" s="12" t="str">
        <x:v>W13-920950-001</x:v>
      </x:c>
      <x:c r="B284" s="12" t="str">
        <x:v>920950</x:v>
      </x:c>
      <x:c r="C284" s="12" t="str">
        <x:v>迅安科技</x:v>
      </x:c>
      <x:c r="D284" s="12" t="str">
        <x:v>增资认缴</x:v>
      </x:c>
      <x:c r="E284" s="12" t="n">
        <x:v>37</x:v>
      </x:c>
      <x:c r="F284" s="12" t="str">
        <x:v>定向发行</x:v>
      </x:c>
      <x:c r="G284" s="12" t="str">
        <x:v>2021 年 12 月 31 日</x:v>
      </x:c>
      <x:c r="H284" s="12" t="str">
        <x:v>10.50 元</x:v>
      </x:c>
      <x:c r="I284" s="12" t="str">
        <x:v>1,150,000 股</x:v>
      </x:c>
      <x:c r="J284" s="12" t="str"/>
      <x:c r="K284" s="12" t="str">
        <x:v>中</x:v>
      </x:c>
      <x:c r="L284" s="12" t="str">
        <x:v>保留为Auto候选</x:v>
      </x:c>
      <x:c r="M284" s="12" t="str">
        <x:v>1-1-37 于关于&lt;常州迅安科技股份有限公司股票定向发行说明书 &gt;的议案》《关于公司 在册股东不享有本次股票发行优先认购权的议案》《关于签署附生效条件的&lt;股 份认购合同&gt;的议案》等与本次发行有关议案。公司董事长高为人配偶的舅舅朱 景寿、董事李德明的妹妹李慧明参与本次股票发行，高为人、李德明 2 位董事 与本议案均存在关联关系，回避表决。 2021 年...</x:v>
      </x:c>
    </x:row>
    <x:row r="285" ht="38" customHeight="1">
      <x:c r="A285" s="12" t="str">
        <x:v>W13-920950-002</x:v>
      </x:c>
      <x:c r="B285" s="12" t="str">
        <x:v>920950</x:v>
      </x:c>
      <x:c r="C285" s="12" t="str">
        <x:v>迅安科技</x:v>
      </x:c>
      <x:c r="D285" s="12" t="str">
        <x:v>增资认缴</x:v>
      </x:c>
      <x:c r="E285" s="12" t="n">
        <x:v>9</x:v>
      </x:c>
      <x:c r="F285" s="12" t="str">
        <x:v>认购</x:v>
      </x:c>
      <x:c r="G285" s="12" t="str"/>
      <x:c r="H285" s="12" t="str"/>
      <x:c r="I285" s="12" t="str"/>
      <x:c r="J285" s="12" t="str"/>
      <x:c r="K285" s="12" t="str">
        <x:v>低</x:v>
      </x:c>
      <x:c r="L285" s="12" t="str">
        <x:v>保留为Auto候选</x:v>
      </x:c>
      <x:c r="M285" s="12" t="str">
        <x:v>定压力。 （十）发行失败的风险 公司本次发行上市相关文件需经过北交所审核，并报送中国证监会履行注 册程序。本次发行能否通过交易所的审核并取得中国证监会同意注册存在一定 的不确定性。同时，本次发行还将受到国内外宏观经济环境、资本市场的波 动、投资者对于公司的预期等多种内、外部因素的影响，存在因发行认购不足 或其他情形导致发行中止甚至发行失败的风险。</x:v>
      </x:c>
    </x:row>
    <x:row r="286" ht="38" customHeight="1">
      <x:c r="A286" s="12" t="str">
        <x:v>W13-920950-003</x:v>
      </x:c>
      <x:c r="B286" s="12" t="str">
        <x:v>920950</x:v>
      </x:c>
      <x:c r="C286" s="12" t="str">
        <x:v>迅安科技</x:v>
      </x:c>
      <x:c r="D286" s="12" t="str">
        <x:v>增资认缴</x:v>
      </x:c>
      <x:c r="E286" s="12" t="n">
        <x:v>34</x:v>
      </x:c>
      <x:c r="F286" s="12" t="str">
        <x:v>认购</x:v>
      </x:c>
      <x:c r="G286" s="12" t="str"/>
      <x:c r="H286" s="12" t="str"/>
      <x:c r="I286" s="12" t="str"/>
      <x:c r="J286" s="12" t="str"/>
      <x:c r="K286" s="12" t="str">
        <x:v>低</x:v>
      </x:c>
      <x:c r="L286" s="12" t="str">
        <x:v>保留为Auto候选</x:v>
      </x:c>
      <x:c r="M286" s="12" t="str">
        <x:v>的风 险。 五、发行失败的风险 公司本次发行上市相关文件需经过北交所审核，并报送中国证监会履行注 册程序。本次发行能否通过交易所的审核并取得中国证监会同意注册存在一定 的不确定性。同时，本次发行还将受到国内外宏观经济环境、资本市场的波 动、投资者对于公司的预期等多种内、外部因素的影响，存在因发行认购不足 或其他情形导致发行中止甚至发行失败的风险。</x:v>
      </x:c>
    </x:row>
    <x:row r="287" ht="38" customHeight="1">
      <x:c r="A287" s="12" t="str">
        <x:v>W13-920950-004</x:v>
      </x:c>
      <x:c r="B287" s="12" t="str">
        <x:v>920950</x:v>
      </x:c>
      <x:c r="C287" s="12" t="str">
        <x:v>迅安科技</x:v>
      </x:c>
      <x:c r="D287" s="12" t="str">
        <x:v>股权转让</x:v>
      </x:c>
      <x:c r="E287" s="12" t="n">
        <x:v>37</x:v>
      </x:c>
      <x:c r="F287" s="12" t="str">
        <x:v>股份转让</x:v>
      </x:c>
      <x:c r="G287" s="12" t="str">
        <x:v>2022 年 4 月 8 日</x:v>
      </x:c>
      <x:c r="H287" s="12" t="str">
        <x:v>50 元</x:v>
      </x:c>
      <x:c r="I287" s="12" t="str">
        <x:v>10 股</x:v>
      </x:c>
      <x:c r="J287" s="12" t="str"/>
      <x:c r="K287" s="12" t="str">
        <x:v>低</x:v>
      </x:c>
      <x:c r="L287" s="12" t="str">
        <x:v>排除为转让系统语境</x:v>
      </x:c>
      <x:c r="M287" s="12" t="str">
        <x:v>50 元， 募集资金总额为 12,075,000.00 元。发行对象为陈燕玉等 17 名合格投资者，募 集资金用途为补充流动资金。立信会计师已就本次募集资金进行审验，并出具 “信会师报字[2022]第 ZF10159 号”验资报告。本次定向发行新增股份于 2022 年 4 月 8 日起在全国中小企业股份转让系统挂牌并公开转让。 （六） 报告期内重大资产...</x:v>
      </x:c>
    </x:row>
    <x:row r="288" ht="38" customHeight="1">
      <x:c r="A288" s="12" t="str">
        <x:v>W13-920950-005</x:v>
      </x:c>
      <x:c r="B288" s="12" t="str">
        <x:v>920950</x:v>
      </x:c>
      <x:c r="C288" s="12" t="str">
        <x:v>迅安科技</x:v>
      </x:c>
      <x:c r="D288" s="12" t="str">
        <x:v>股权转让</x:v>
      </x:c>
      <x:c r="E288" s="12" t="n">
        <x:v>162</x:v>
      </x:c>
      <x:c r="F288" s="12" t="str">
        <x:v>受让</x:v>
      </x:c>
      <x:c r="G288" s="12" t="str">
        <x:v>2022 年 9 月</x:v>
      </x:c>
      <x:c r="H288" s="12" t="str">
        <x:v>55 万元</x:v>
      </x:c>
      <x:c r="I288" s="12" t="str"/>
      <x:c r="J288" s="12" t="str"/>
      <x:c r="K288" s="12" t="str">
        <x:v>中</x:v>
      </x:c>
      <x:c r="L288" s="12" t="str">
        <x:v>保留为Auto候选</x:v>
      </x:c>
      <x:c r="M288" s="12" t="str">
        <x:v>发行人条件的 经营用地 38.9 亩，同时就发行人开工建设时间、税收总额等作出约定。具体条 款如下： 事项 具体内容 用地位置 项目用地位于常州经济开发区潞横路北侧、园东路西侧、潞横北路南侧， 规划面积约 38.9 亩，土地面积最终确定以国土资源局实际测量为准。 土地价格 甲方、丙方同意乙方受让上述工业地块土地使用权，项目土地出让基准价 格 55 万元...</x:v>
      </x:c>
    </x:row>
    <x:row r="289" ht="38" customHeight="1">
      <x:c r="A289" s="12" t="str">
        <x:v>W13-920950-006</x:v>
      </x:c>
      <x:c r="B289" s="12" t="str">
        <x:v>920950</x:v>
      </x:c>
      <x:c r="C289" s="12" t="str">
        <x:v>迅安科技</x:v>
      </x:c>
      <x:c r="D289" s="12" t="str">
        <x:v>股权转让</x:v>
      </x:c>
      <x:c r="E289" s="12" t="n">
        <x:v>12</x:v>
      </x:c>
      <x:c r="F289" s="12" t="str">
        <x:v>股份转让</x:v>
      </x:c>
      <x:c r="G289" s="12" t="str"/>
      <x:c r="H289" s="12" t="str"/>
      <x:c r="I289" s="12" t="str"/>
      <x:c r="J289" s="12" t="str"/>
      <x:c r="K289" s="12" t="str">
        <x:v>低</x:v>
      </x:c>
      <x:c r="L289" s="12" t="str">
        <x:v>排除为转让系统语境</x:v>
      </x:c>
      <x:c r="M289" s="12" t="str">
        <x:v>公司，股票代码 603131 凯尔达 指 杭州凯尔达焊接机器人股份有限公司，股票代码 688255 北交所 指 北京证券交易所 国务院 指 中华人民共和国国务院 发改委 指 中华人民共和国国家发展和改革委员会 中国证监会、证监会 指 中国证券监督管理委员会 全国股转系统 指 全国中小企业股份转让系统 全国股转公司 指 全国中小企业股份转让系统有限责任公...</x:v>
      </x:c>
    </x:row>
    <x:row r="290" ht="38" customHeight="1">
      <x:c r="A290" s="12" t="str">
        <x:v>W13-920950-007</x:v>
      </x:c>
      <x:c r="B290" s="12" t="str">
        <x:v>920950</x:v>
      </x:c>
      <x:c r="C290" s="12" t="str">
        <x:v>迅安科技</x:v>
      </x:c>
      <x:c r="D290" s="12" t="str">
        <x:v>股权转让</x:v>
      </x:c>
      <x:c r="E290" s="12" t="n">
        <x:v>13</x:v>
      </x:c>
      <x:c r="F290" s="12" t="str">
        <x:v>股份转让</x:v>
      </x:c>
      <x:c r="G290" s="12" t="str">
        <x:v>2022 年 6 月</x:v>
      </x:c>
      <x:c r="H290" s="12" t="str"/>
      <x:c r="I290" s="12" t="str"/>
      <x:c r="J290" s="12" t="str"/>
      <x:c r="K290" s="12" t="str">
        <x:v>低</x:v>
      </x:c>
      <x:c r="L290" s="12" t="str">
        <x:v>排除为转让系统语境</x:v>
      </x:c>
      <x:c r="M290" s="12" t="str">
        <x:v>计师事务所（特殊普通合伙） 《公司法》 指 《中华人民共和国公司法》 《证券法》 指 《中华人民共和国证券法》 《公司章程》 指 《常州迅安科技股份有限公司章程》 《公司章程（草案）》 指 《常州迅安科技股份有限公司章程（草案）》（北交 所上市后适用） 《分层管理办法》 指 《全国中小企业股份转让系统分层管理办法》 《注册管理办法（试 行）》 指 《北...</x:v>
      </x:c>
    </x:row>
    <x:row r="291" ht="38" customHeight="1">
      <x:c r="A291" s="12" t="str">
        <x:v>W13-920950-008</x:v>
      </x:c>
      <x:c r="B291" s="12" t="str">
        <x:v>920950</x:v>
      </x:c>
      <x:c r="C291" s="12" t="str">
        <x:v>迅安科技</x:v>
      </x:c>
      <x:c r="D291" s="12" t="str">
        <x:v>股权转让</x:v>
      </x:c>
      <x:c r="E291" s="12" t="n">
        <x:v>35</x:v>
      </x:c>
      <x:c r="F291" s="12" t="str">
        <x:v>股份转让</x:v>
      </x:c>
      <x:c r="G291" s="12" t="str">
        <x:v>2015 年 11 月 30 日</x:v>
      </x:c>
      <x:c r="H291" s="12" t="str"/>
      <x:c r="I291" s="12" t="str"/>
      <x:c r="J291" s="12" t="str"/>
      <x:c r="K291" s="12" t="str">
        <x:v>低</x:v>
      </x:c>
      <x:c r="L291" s="12" t="str">
        <x:v>排除为转让系统语境</x:v>
      </x:c>
      <x:c r="M291" s="12" t="str">
        <x:v>罩、电动送风过滤式呼吸器及相关配 件的研发、生产和销售 主要产品与服务项目 电焊防护面罩、电动送风过滤式呼吸器及相关配 件 二、 发行人挂牌期间的基本情况 （一） 挂牌日期和目前所属层级 2015 年 11 月 30 日，全国股转公司出具《关于同意常州迅安科技股份有限 公司股票在全国中小企业股份转让系统挂牌的函》（股转系统函 [2015]7943</x:v>
      </x:c>
    </x:row>
    <x:row r="292" ht="38" customHeight="1">
      <x:c r="A292" s="12" t="str">
        <x:v>W13-920950-009</x:v>
      </x:c>
      <x:c r="B292" s="12" t="str">
        <x:v>920950</x:v>
      </x:c>
      <x:c r="C292" s="12" t="str">
        <x:v>迅安科技</x:v>
      </x:c>
      <x:c r="D292" s="12" t="str">
        <x:v>股权转让</x:v>
      </x:c>
      <x:c r="E292" s="12" t="n">
        <x:v>36</x:v>
      </x:c>
      <x:c r="F292" s="12" t="str">
        <x:v>股份转让</x:v>
      </x:c>
      <x:c r="G292" s="12" t="str">
        <x:v>2015 年 12 月 16 日</x:v>
      </x:c>
      <x:c r="H292" s="12" t="str"/>
      <x:c r="I292" s="12" t="str"/>
      <x:c r="J292" s="12" t="str"/>
      <x:c r="K292" s="12" t="str">
        <x:v>中</x:v>
      </x:c>
      <x:c r="L292" s="12" t="str">
        <x:v>保留为Auto候选</x:v>
      </x:c>
      <x:c r="M292" s="12" t="str">
        <x:v>1-1-36 号），同意发行人股票在全国中小企业股份转让系统挂牌公开转让。 2015 年 12 月 16 日起，发行人股票在全国中小企业股份转让系统挂牌公开 转让，证券简称为“迅安科技”，证券代码为“834950”。 公司自挂牌之日至 2022 年 5 月 22 日为基础层企业；根据全国中小企业股 份转让系统下发的《关于发布 2022 年第二次创新层进...</x:v>
      </x:c>
    </x:row>
    <x:row r="293" ht="38" customHeight="1">
      <x:c r="A293" s="12" t="str">
        <x:v>W13-920950-010</x:v>
      </x:c>
      <x:c r="B293" s="12" t="str">
        <x:v>920950</x:v>
      </x:c>
      <x:c r="C293" s="12" t="str">
        <x:v>迅安科技</x:v>
      </x:c>
      <x:c r="D293" s="12" t="str">
        <x:v>股权转让</x:v>
      </x:c>
      <x:c r="E293" s="12" t="n">
        <x:v>62</x:v>
      </x:c>
      <x:c r="F293" s="12" t="str">
        <x:v>股份回购</x:v>
      </x:c>
      <x:c r="G293" s="12" t="str"/>
      <x:c r="H293" s="12" t="str"/>
      <x:c r="I293" s="12" t="str"/>
      <x:c r="J293" s="12" t="str"/>
      <x:c r="K293" s="12" t="str">
        <x:v>低</x:v>
      </x:c>
      <x:c r="L293" s="12" t="str">
        <x:v>保留为Auto候选</x:v>
      </x:c>
      <x:c r="M293" s="12" t="str">
        <x:v>价措施的启动程序 （一）公司回购股票 1）公司董事会应在回购股份启动条件触发之日起的 10 个交易日内，作出 公司回购股份的决议； 2）公司董事会应在作出公司回购股份之决议后的 2 个交易日内，公开披露 董事会决议及回购股份预案等相关公告； 3）公司应在股东大会对公司回购股份作出决议后，并在股份回购符合证券</x:v>
      </x:c>
    </x:row>
    <x:row r="294" ht="38" customHeight="1">
      <x:c r="A294" s="12" t="str">
        <x:v>W13-920950-011</x:v>
      </x:c>
      <x:c r="B294" s="12" t="str">
        <x:v>920950</x:v>
      </x:c>
      <x:c r="C294" s="12" t="str">
        <x:v>迅安科技</x:v>
      </x:c>
      <x:c r="D294" s="12" t="str">
        <x:v>股权转让</x:v>
      </x:c>
      <x:c r="E294" s="12" t="n">
        <x:v>66</x:v>
      </x:c>
      <x:c r="F294" s="12" t="str">
        <x:v>股份回购</x:v>
      </x:c>
      <x:c r="G294" s="12" t="str"/>
      <x:c r="H294" s="12" t="str"/>
      <x:c r="I294" s="12" t="str"/>
      <x:c r="J294" s="12" t="str"/>
      <x:c r="K294" s="12" t="str">
        <x:v>低</x:v>
      </x:c>
      <x:c r="L294" s="12" t="str">
        <x:v>保留为Auto候选</x:v>
      </x:c>
      <x:c r="M294" s="12" t="str">
        <x:v>性和完整性承担法律责任。 2、因发行人招股说明书有虚假记载、误导性陈述或者重大遗漏，对判断发 行人是否符合法律规定的发行条件构成重大、实质影响，在该等违法事实被中 国证监会、证券交易所或司法机关等有权机关认定后，发行人将依法回购公开 发行的全部新股。发行人将在上述情形发生之日起 5 个工作日内启动股份回购 程序（包括但不限于制定股份回购方案、召开董事会...</x:v>
      </x:c>
    </x:row>
    <x:row r="295" ht="38" customHeight="1">
      <x:c r="A295" s="12" t="str">
        <x:v>W13-920950-012</x:v>
      </x:c>
      <x:c r="B295" s="12" t="str">
        <x:v>920950</x:v>
      </x:c>
      <x:c r="C295" s="12" t="str">
        <x:v>迅安科技</x:v>
      </x:c>
      <x:c r="D295" s="12" t="str">
        <x:v>股权快照</x:v>
      </x:c>
      <x:c r="E295" s="12" t="n">
        <x:v>5</x:v>
      </x:c>
      <x:c r="F295" s="12" t="str">
        <x:v>持股比例</x:v>
      </x:c>
      <x:c r="G295" s="12" t="str">
        <x:v>2022 年 6 月 30 日</x:v>
      </x:c>
      <x:c r="H295" s="12" t="str"/>
      <x:c r="I295" s="12" t="str"/>
      <x:c r="J295" s="12" t="str"/>
      <x:c r="K295" s="12" t="str">
        <x:v>中</x:v>
      </x:c>
      <x:c r="L295" s="12" t="str">
        <x:v>保留为Auto候选</x:v>
      </x:c>
      <x:c r="M295" s="12" t="str">
        <x:v>保荐人及证券服务机构等作出的重要承诺以及未能履行承诺的约 束措施，具体承诺事项请参见本招股说明书 “第四节 发行人基本情况 ”之 “九、重要承诺”之相关内容。 二、本次发行前滚存利润的分配方案 根据公司 2022 年第三次临时股东大会决议，本次发行前的滚存未分配利润 由股票发行后的新老股东按照持股比例共同享有。 三、本次发行上市后公司的利润分配政策 根...</x:v>
      </x:c>
    </x:row>
    <x:row r="296" ht="38" customHeight="1">
      <x:c r="A296" s="12" t="str">
        <x:v>W13-920950-013</x:v>
      </x:c>
      <x:c r="B296" s="12" t="str">
        <x:v>920950</x:v>
      </x:c>
      <x:c r="C296" s="12" t="str">
        <x:v>迅安科技</x:v>
      </x:c>
      <x:c r="D296" s="12" t="str">
        <x:v>股权快照</x:v>
      </x:c>
      <x:c r="E296" s="12" t="n">
        <x:v>15</x:v>
      </x:c>
      <x:c r="F296" s="12" t="str">
        <x:v>持股比例</x:v>
      </x:c>
      <x:c r="G296" s="12" t="str"/>
      <x:c r="H296" s="12" t="str"/>
      <x:c r="I296" s="12" t="str">
        <x:v>1,767 万股</x:v>
      </x:c>
      <x:c r="J296" s="12" t="str">
        <x:v>48.88%</x:v>
      </x:c>
      <x:c r="K296" s="12" t="str">
        <x:v>中</x:v>
      </x:c>
      <x:c r="L296" s="12" t="str">
        <x:v>保留为Auto候选</x:v>
      </x:c>
      <x:c r="M296" s="12" t="str">
        <x:v>管理型行业分类 制造业（C） 计 算 机 、 通 信 和 其 他 电 子 设 制造业（C39） C399 其他电子 设备制造 C3990 其他电子 设备制造 二、 发行人及其控股股东、实际控制人的情况 发行人控股股东、实际控制人为高为人。 高为人直接持有发行人 1,767 万股股份，持股比例为 48.88%；迅和管理直 接持有发行人 400 万股股份，...</x:v>
      </x:c>
    </x:row>
    <x:row r="297" ht="38" customHeight="1">
      <x:c r="A297" s="12" t="str">
        <x:v>W13-920950-014</x:v>
      </x:c>
      <x:c r="B297" s="12" t="str">
        <x:v>920950</x:v>
      </x:c>
      <x:c r="C297" s="12" t="str">
        <x:v>迅安科技</x:v>
      </x:c>
      <x:c r="D297" s="12" t="str">
        <x:v>股权快照</x:v>
      </x:c>
      <x:c r="E297" s="12" t="n">
        <x:v>30</x:v>
      </x:c>
      <x:c r="F297" s="12" t="str">
        <x:v>持股比例</x:v>
      </x:c>
      <x:c r="G297" s="12" t="str"/>
      <x:c r="H297" s="12" t="str">
        <x:v>2,451.23 万元</x:v>
      </x:c>
      <x:c r="I297" s="12" t="str">
        <x:v>1,767 万股</x:v>
      </x:c>
      <x:c r="J297" s="12" t="str">
        <x:v>48.88%</x:v>
      </x:c>
      <x:c r="K297" s="12" t="str">
        <x:v>中</x:v>
      </x:c>
      <x:c r="L297" s="12" t="str">
        <x:v>保留为Auto候选</x:v>
      </x:c>
      <x:c r="M297" s="12" t="str">
        <x:v>要求。如果公司不能建立与规 模相适应的高效经营管理体系和经营管理团队，则将给公司稳定、健康、可持 续发展带来一定的风险。 （十一）公司实际控制人不当控制的风险 截至报告期末实际控制人高为人直接持有发行人 1,767 万股股份，持股比 例为 48.88%；迅和管理直接持有发行人 400 万股股份，持股比例为 11.07%，高 为人持有迅和管理 29.57...</x:v>
      </x:c>
    </x:row>
    <x:row r="298" ht="38" customHeight="1">
      <x:c r="A298" s="12" t="str">
        <x:v>W13-920950-015</x:v>
      </x:c>
      <x:c r="B298" s="12" t="str">
        <x:v>920950</x:v>
      </x:c>
      <x:c r="C298" s="12" t="str">
        <x:v>迅安科技</x:v>
      </x:c>
      <x:c r="D298" s="12" t="str">
        <x:v>股权快照</x:v>
      </x:c>
      <x:c r="E298" s="12" t="n">
        <x:v>38</x:v>
      </x:c>
      <x:c r="F298" s="12" t="str">
        <x:v>持股比例</x:v>
      </x:c>
      <x:c r="G298" s="12" t="str"/>
      <x:c r="H298" s="12" t="str"/>
      <x:c r="I298" s="12" t="str">
        <x:v>1,767 万股</x:v>
      </x:c>
      <x:c r="J298" s="12" t="str">
        <x:v>48.88%</x:v>
      </x:c>
      <x:c r="K298" s="12" t="str">
        <x:v>中</x:v>
      </x:c>
      <x:c r="L298" s="12" t="str">
        <x:v>保留为Auto候选</x:v>
      </x:c>
      <x:c r="M298" s="12" t="str">
        <x:v>、不存在纠纷。 三、 发行人的股权结构 截至本招股说明书签署日，发行人的股权结构如下所示： 四、 发行人股东及实际控制人情况 （一） 控股股东、实际控制人情况 发行人控股股东、实际控制人为高为人。报告期内，公司实际控制人未发 生变化。 高为人直接持有发行人 1,767 万股股份，持股比例为 48.88%；迅和管理直 接持有发行人 400 万股股份，持股...</x:v>
      </x:c>
    </x:row>
    <x:row r="299" ht="38" customHeight="1">
      <x:c r="A299" s="12" t="str">
        <x:v>W13-920950-016</x:v>
      </x:c>
      <x:c r="B299" s="12" t="str">
        <x:v>920950</x:v>
      </x:c>
      <x:c r="C299" s="12" t="str">
        <x:v>迅安科技</x:v>
      </x:c>
      <x:c r="D299" s="12" t="str">
        <x:v>股权快照</x:v>
      </x:c>
      <x:c r="E299" s="12" t="n">
        <x:v>39</x:v>
      </x:c>
      <x:c r="F299" s="12" t="str">
        <x:v>持股数量</x:v>
      </x:c>
      <x:c r="G299" s="12" t="str">
        <x:v>2017 年 8 月</x:v>
      </x:c>
      <x:c r="H299" s="12" t="str"/>
      <x:c r="I299" s="12" t="str"/>
      <x:c r="J299" s="12" t="str">
        <x:v>5%</x:v>
      </x:c>
      <x:c r="K299" s="12" t="str">
        <x:v>中</x:v>
      </x:c>
      <x:c r="L299" s="12" t="str">
        <x:v>保留为Auto候选</x:v>
      </x:c>
      <x:c r="M299" s="12" t="str">
        <x:v>管理执行事务合 伙人；2017 年 8 月至今任迅赛贸易执行董事；2015 年 8 月至今任公司董事长兼 总经理。 （二） 持有发行人 5%以上股份的其他主要股东 除控股股东、实际控制人外，其他持有公司 5%以上股份的股东分别瞿劲、 李德明、吴雨兴和迅和管理，其基本情况如下： 序号 股东名称 持股数量（万股） 持股比例（%） 1 瞿劲 651.00 1...</x:v>
      </x:c>
    </x:row>
    <x:row r="300" ht="38" customHeight="1">
      <x:c r="A300" s="12" t="str">
        <x:v>W13-920950-017</x:v>
      </x:c>
      <x:c r="B300" s="12" t="str">
        <x:v>920950</x:v>
      </x:c>
      <x:c r="C300" s="12" t="str">
        <x:v>迅安科技</x:v>
      </x:c>
      <x:c r="D300" s="12" t="str">
        <x:v>股权快照</x:v>
      </x:c>
      <x:c r="E300" s="12" t="n">
        <x:v>42</x:v>
      </x:c>
      <x:c r="F300" s="12" t="str">
        <x:v>股本结构</x:v>
      </x:c>
      <x:c r="G300" s="12" t="str">
        <x:v>2022 年 5 月 26 日</x:v>
      </x:c>
      <x:c r="H300" s="12" t="str"/>
      <x:c r="I300" s="12" t="str">
        <x:v>3,615.00 万股</x:v>
      </x:c>
      <x:c r="J300" s="12" t="str">
        <x:v>25%</x:v>
      </x:c>
      <x:c r="K300" s="12" t="str">
        <x:v>中</x:v>
      </x:c>
      <x:c r="L300" s="12" t="str">
        <x:v>保留为Auto候选</x:v>
      </x:c>
      <x:c r="M300" s="12" t="str">
        <x:v>或其他有争议的情况 截至本招股说明书签署日，发行人股份不存在涉诉、质押、冻结或其他有 争议的情况。 （四） 控股股东、实际控制人所控制的其他企业情况 截至本招股说明书签署日，除发行人和迅和管理外，控股股东、实际控制 人不存在控制其他企业的情况。 五、 发行人股本情况 （一） 本次发行前后的股本结构情况 本次发行前，发行人总股本为 3,615.00 万股...</x:v>
      </x:c>
    </x:row>
    <x:row r="301" ht="38" customHeight="1">
      <x:c r="A301" s="12" t="str">
        <x:v>W13-920950-018</x:v>
      </x:c>
      <x:c r="B301" s="12" t="str">
        <x:v>920950</x:v>
      </x:c>
      <x:c r="C301" s="12" t="str">
        <x:v>迅安科技</x:v>
      </x:c>
      <x:c r="D301" s="12" t="str">
        <x:v>股权快照</x:v>
      </x:c>
      <x:c r="E301" s="12" t="n">
        <x:v>53</x:v>
      </x:c>
      <x:c r="F301" s="12" t="str">
        <x:v>持股数量</x:v>
      </x:c>
      <x:c r="G301" s="12" t="str"/>
      <x:c r="H301" s="12" t="str"/>
      <x:c r="I301" s="12" t="str"/>
      <x:c r="J301" s="12" t="str"/>
      <x:c r="K301" s="12" t="str">
        <x:v>低</x:v>
      </x:c>
      <x:c r="L301" s="12" t="str">
        <x:v>保留为Auto候选</x:v>
      </x:c>
      <x:c r="M301" s="12" t="str">
        <x:v>经 理、董事会秘书李德明和财务负责人顾珂。 综上，报告期内，公司董事、监事、高级管理人员未出现重大变动。 （二） 直接或间接持有发行人股份的情况 1、直接持股情况 截至本招股说明书签署日，发行人董事、监事、高级管理人员及其近亲属 直接持有发行人股份的情况如下： 序号 姓名 职务/亲属关系 持股数量 （万股） 持股比例 （%） 1 高为人 董事长、总经理...</x:v>
      </x:c>
    </x:row>
    <x:row r="302" ht="38" customHeight="1">
      <x:c r="A302" s="12" t="str">
        <x:v>W13-920950-019</x:v>
      </x:c>
      <x:c r="B302" s="12" t="str">
        <x:v>920950</x:v>
      </x:c>
      <x:c r="C302" s="12" t="str">
        <x:v>迅安科技</x:v>
      </x:c>
      <x:c r="D302" s="12" t="str">
        <x:v>基金备案</x:v>
      </x:c>
      <x:c r="E302" s="12" t="n">
        <x:v>41</x:v>
      </x:c>
      <x:c r="F302" s="12" t="str">
        <x:v>私募投资基金</x:v>
      </x:c>
      <x:c r="G302" s="12" t="str"/>
      <x:c r="H302" s="12" t="str"/>
      <x:c r="I302" s="12" t="str"/>
      <x:c r="J302" s="12" t="str"/>
      <x:c r="K302" s="12" t="str">
        <x:v>中</x:v>
      </x:c>
      <x:c r="L302" s="12" t="str">
        <x:v>保留为Auto候选</x:v>
      </x:c>
      <x:c r="M302" s="12" t="str">
        <x:v>管 理；信息咨询服务（不含许可类信息咨询服务）（除依法须经 批准的项目外，凭营业执照依法自主开展经营活动） 主营业务及其与发行 人主营业务的关系 主营业务为对外投资，与发行人主营业务无关 迅和管理系发行人的员工持股平台，不存在以非公开方式向合格投资者募 集资金的情形，其本身亦未募集设立或参与管理私募投资基金，不属于《私募 投资基金监督管理暂行办法》及《...</x:v>
      </x:c>
    </x:row>
    <x:row r="303" ht="38" customHeight="1">
      <x:c r="A303" s="12" t="str">
        <x:v>W13-920950-020</x:v>
      </x:c>
      <x:c r="B303" s="12" t="str">
        <x:v>920950</x:v>
      </x:c>
      <x:c r="C303" s="12" t="str">
        <x:v>迅安科技</x:v>
      </x:c>
      <x:c r="D303" s="12" t="str">
        <x:v>基金备案</x:v>
      </x:c>
      <x:c r="E303" s="12" t="n">
        <x:v>177</x:v>
      </x:c>
      <x:c r="F303" s="12" t="str">
        <x:v>备案号</x:v>
      </x:c>
      <x:c r="G303" s="12" t="str">
        <x:v>2022 年 6 月 30 日</x:v>
      </x:c>
      <x:c r="H303" s="12" t="str"/>
      <x:c r="I303" s="12" t="str"/>
      <x:c r="J303" s="12" t="str">
        <x:v>11.05%</x:v>
      </x:c>
      <x:c r="K303" s="12" t="str">
        <x:v>中</x:v>
      </x:c>
      <x:c r="L303" s="12" t="str">
        <x:v>保留为Auto候选</x:v>
      </x:c>
      <x:c r="M303" s="12" t="str">
        <x:v>1-1-177 序号 证号 标识 注册日期 权利人 注册地 区 取得方 式 1 CI-446872056 2022.01.08 发行人 欧盟 原始取 得 （5）域名 截至 2022 年 6 月 30 日，公司共拥有 1 项网络域名，具体情况如下： 序号 域名 备案号 网站名称 有效期 1 shine-xunan.com 苏 ICP 备 18068815...</x:v>
      </x:c>
    </x:row>
    <x:row r="304" ht="38" customHeight="1">
      <x:c r="A304" s="12" t="str">
        <x:v>W13-920950-021</x:v>
      </x:c>
      <x:c r="B304" s="12" t="str">
        <x:v>920950</x:v>
      </x:c>
      <x:c r="C304" s="12" t="str">
        <x:v>迅安科技</x:v>
      </x:c>
      <x:c r="D304" s="12" t="str">
        <x:v>特殊投资条款</x:v>
      </x:c>
      <x:c r="E304" s="12" t="n">
        <x:v>43</x:v>
      </x:c>
      <x:c r="F304" s="12" t="str">
        <x:v>特殊投资约定</x:v>
      </x:c>
      <x:c r="G304" s="12" t="str"/>
      <x:c r="H304" s="12" t="str"/>
      <x:c r="I304" s="12" t="str"/>
      <x:c r="J304" s="12" t="str">
        <x:v>11.07%</x:v>
      </x:c>
      <x:c r="K304" s="12" t="str">
        <x:v>低</x:v>
      </x:c>
      <x:c r="L304" s="12" t="str">
        <x:v>保留为Auto候选</x:v>
      </x:c>
      <x:c r="M304" s="12" t="str">
        <x:v>股，持 股比例为 11.07%。迅和管理无实质经营活动，其执行事务合伙人为发行人控股 股东、实际控制人高为人。迅和管理具体 情况及股权结构详见本节之 “四、发 行人股东及实际控制人情况”之“（二）持有发行人 5%以上股份的其他主要股 东”之“4、迅和管理”。 （二）发行人控股股东、实际控制人签署的特殊投资约定事项 截至本招股说明书签署日，发行人控股股东...</x:v>
      </x:c>
    </x:row>
    <x:row r="305" ht="38" customHeight="1">
      <x:c r="A305" s="12" t="str">
        <x:v>W13-920950-022</x:v>
      </x:c>
      <x:c r="B305" s="12" t="str">
        <x:v>920950</x:v>
      </x:c>
      <x:c r="C305" s="12" t="str">
        <x:v>迅安科技</x:v>
      </x:c>
      <x:c r="D305" s="12" t="str">
        <x:v>特殊投资条款</x:v>
      </x:c>
      <x:c r="E305" s="12" t="n">
        <x:v>44</x:v>
      </x:c>
      <x:c r="F305" s="12" t="str">
        <x:v>特殊投资约定</x:v>
      </x:c>
      <x:c r="G305" s="12" t="str">
        <x:v>2017 年 8 月 23 日</x:v>
      </x:c>
      <x:c r="H305" s="12" t="str">
        <x:v>20.00 万元</x:v>
      </x:c>
      <x:c r="I305" s="12" t="str"/>
      <x:c r="J305" s="12" t="str"/>
      <x:c r="K305" s="12" t="str">
        <x:v>中</x:v>
      </x:c>
      <x:c r="L305" s="12" t="str">
        <x:v>保留为Auto候选</x:v>
      </x:c>
      <x:c r="M305" s="12" t="str">
        <x:v>1-1-44 不存在特殊投资约定等可能导致股权结构变化的事项。 七、 发行人的分公司、控股子公司、参股公司情况 截至本招股说明书签署之日，发行人拥有 1 家控股子公司、 1 家参股公 司，具体情况如下： 1、控股子公司：迅赛贸易 截至本招股说明书签署日，迅赛贸易的基本情况如下： 公司名称 常州迅赛贸易有限公司 成立日期 2017 年 8 月 23 日 ...</x:v>
      </x:c>
    </x:row>
    <x:row r="306" ht="38" customHeight="1">
      <x:c r="A306" s="12" t="str">
        <x:v>W13-920950-023</x:v>
      </x:c>
      <x:c r="B306" s="12" t="str">
        <x:v>920950</x:v>
      </x:c>
      <x:c r="C306" s="12" t="str">
        <x:v>迅安科技</x:v>
      </x:c>
      <x:c r="D306" s="12" t="str">
        <x:v>特殊投资条款</x:v>
      </x:c>
      <x:c r="E306" s="12" t="n">
        <x:v>72</x:v>
      </x:c>
      <x:c r="F306" s="12" t="str">
        <x:v>优先购买权</x:v>
      </x:c>
      <x:c r="G306" s="12" t="str"/>
      <x:c r="H306" s="12" t="str"/>
      <x:c r="I306" s="12" t="str"/>
      <x:c r="J306" s="12" t="str"/>
      <x:c r="K306" s="12" t="str">
        <x:v>低</x:v>
      </x:c>
      <x:c r="L306" s="12" t="str">
        <x:v>保留为Auto候选</x:v>
      </x:c>
      <x:c r="M306" s="12" t="str">
        <x:v>规、盈利能力不低于同行业上市公司同类资产等公司认为可以 注入的条件后 6 个月内，将竞争性业务及资产注入公司，或（3）在不超过 6 个 月内或公司要 求的其他期限内向无关联关系的第三方转让竞争性业务及资产， 或其他合法方式避免直至消除同业竞争；如果本人及本人控制的企业对外转让 竞争性业务，则公司享有优先购买权。 五、上述承诺在本人作为公司控股股东、实际...</x:v>
      </x:c>
    </x:row>
  </x:sheetData>
  <x:mergeCells>
    <x:mergeCell ref="A2:M2"/>
  </x:mergeCells>
  <x:pageMargins left="0.7" right="0.7" top="0.75" bottom="0.75" header="0.3" footer="0.3"/>
</x:worksheet>
</file>

<file path=xl/worksheets/sheet6.xml><?xml version="1.0" encoding="utf-8"?>
<x:worksheet xmlns:x="http://schemas.openxmlformats.org/spreadsheetml/2006/main">
  <x:sheetPr>
    <x:tabColor rgb="FF9FBAD0"/>
  </x:sheetPr>
  <x:sheetViews>
    <x:sheetView showGridLines="0" workbookViewId="0">
      <x:pane xSplit="3" ySplit="5" topLeftCell="D6" activePane="bottomRight" state="frozen"/>
    </x:sheetView>
  </x:sheetViews>
  <x:sheetFormatPr defaultRowHeight="15"/>
  <x:cols>
    <x:col min="1" max="1" width="18" hidden="0" customWidth="1"/>
    <x:col min="2" max="2" width="18" hidden="0" customWidth="1"/>
    <x:col min="3" max="3" width="18" hidden="0" customWidth="1"/>
    <x:col min="4" max="4" width="42" hidden="0" customWidth="1"/>
    <x:col min="5" max="5" width="18" hidden="0" customWidth="1"/>
    <x:col min="6" max="6" width="18" hidden="0" customWidth="1"/>
    <x:col min="7" max="7" width="58" hidden="0" customWidth="1"/>
    <x:col min="8" max="8" width="26" hidden="0" customWidth="1"/>
    <x:col min="9" max="9" width="18" hidden="0" customWidth="1"/>
    <x:col min="10" max="10" width="20" hidden="0" customWidth="1"/>
    <x:col min="11" max="11" width="22" hidden="0" customWidth="1"/>
    <x:col min="12" max="12" width="24" hidden="0" customWidth="1"/>
    <x:col min="13" max="13" width="28" hidden="0" customWidth="1"/>
    <x:col min="14" max="14" width="40" hidden="0" customWidth="1"/>
  </x:cols>
  <x:sheetData>
    <x:row r="1">
      <x:c r="G1" s="32"/>
      <x:c r="N1" s="32"/>
    </x:row>
    <x:row r="2">
      <x:c r="A2" s="26" t="str">
        <x:v>去重投资主体与类型候选</x:v>
      </x:c>
    </x:row>
    <x:row r="3">
      <x:c r="A3" s="3"/>
      <x:c r="B3" s="3"/>
      <x:c r="C3" s="3"/>
      <x:c r="D3" s="3"/>
      <x:c r="E3" s="3"/>
      <x:c r="F3" s="3"/>
      <x:c r="G3" s="3"/>
      <x:c r="H3" s="3"/>
      <x:c r="I3" s="3"/>
      <x:c r="J3" s="3"/>
      <x:c r="K3" s="3"/>
      <x:c r="L3" s="3"/>
      <x:c r="M3" s="3"/>
      <x:c r="N3" s="3"/>
    </x:row>
    <x:row r="5">
      <x:c r="A5" s="30" t="str">
        <x:v>主体ID</x:v>
      </x:c>
      <x:c r="B5" s="30" t="str">
        <x:v>股票代码</x:v>
      </x:c>
      <x:c r="C5" s="30" t="str">
        <x:v>公司简称</x:v>
      </x:c>
      <x:c r="D5" s="30" t="str">
        <x:v>投资主体候选</x:v>
      </x:c>
      <x:c r="E5" s="30" t="str">
        <x:v>类型候选</x:v>
      </x:c>
      <x:c r="F5" s="30" t="str">
        <x:v>PEVC候选</x:v>
      </x:c>
      <x:c r="G5" s="30" t="str">
        <x:v>分类依据</x:v>
      </x:c>
      <x:c r="H5" s="30" t="str">
        <x:v>证据页</x:v>
      </x:c>
      <x:c r="I5" s="30" t="str">
        <x:v>出现次数</x:v>
      </x:c>
      <x:c r="J5" s="30" t="str">
        <x:v>人工状态</x:v>
      </x:c>
      <x:c r="K5" s="30" t="str">
        <x:v>备案编码</x:v>
      </x:c>
      <x:c r="L5" s="30" t="str">
        <x:v>GP</x:v>
      </x:c>
      <x:c r="M5" s="30" t="str">
        <x:v>LP结构</x:v>
      </x:c>
      <x:c r="N5" s="30" t="str">
        <x:v>深度字段原则</x:v>
      </x:c>
    </x:row>
    <x:row r="6" ht="22" customHeight="1">
      <x:c r="A6" s="11" t="str">
        <x:v>W13IP001</x:v>
      </x:c>
      <x:c r="B6" s="11" t="str">
        <x:v>920008</x:v>
      </x:c>
      <x:c r="C6" s="11" t="str">
        <x:v>成电光信</x:v>
      </x:c>
      <x:c r="D6" s="11" t="str">
        <x:v>成都高投创业投资</x:v>
      </x:c>
      <x:c r="E6" s="11" t="str">
        <x:v>VC</x:v>
      </x:c>
      <x:c r="F6" s="11" t="str">
        <x:v>yes</x:v>
      </x:c>
      <x:c r="G6" s="11" t="str">
        <x:v>名称或上下文明确出现创业投资/创投</x:v>
      </x:c>
      <x:c r="H6" s="11" t="str">
        <x:v>40</x:v>
      </x:c>
      <x:c r="I6" s="11" t="n">
        <x:v>2</x:v>
      </x:c>
      <x:c r="J6" s="11" t="str">
        <x:v>待人工确认</x:v>
      </x:c>
      <x:c r="K6" s="11" t="str"/>
      <x:c r="L6" s="11" t="str"/>
      <x:c r="M6" s="11" t="str"/>
      <x:c r="N6" s="11" t="str">
        <x:v>原文或权威来源未披露时留空</x:v>
      </x:c>
    </x:row>
    <x:row r="7" ht="22" customHeight="1">
      <x:c r="A7" s="12" t="str">
        <x:v>W13IP002</x:v>
      </x:c>
      <x:c r="B7" s="12" t="str">
        <x:v>920016</x:v>
      </x:c>
      <x:c r="C7" s="12" t="str">
        <x:v>中草香料</x:v>
      </x:c>
      <x:c r="D7" s="12" t="str">
        <x:v>安徽省创业投资</x:v>
      </x:c>
      <x:c r="E7" s="12" t="str">
        <x:v>VC</x:v>
      </x:c>
      <x:c r="F7" s="12" t="str">
        <x:v>yes</x:v>
      </x:c>
      <x:c r="G7" s="12" t="str">
        <x:v>名称或上下文明确出现创业投资/创投</x:v>
      </x:c>
      <x:c r="H7" s="12" t="str">
        <x:v>36</x:v>
      </x:c>
      <x:c r="I7" s="12" t="n">
        <x:v>1</x:v>
      </x:c>
      <x:c r="J7" s="12" t="str">
        <x:v>待人工确认</x:v>
      </x:c>
      <x:c r="K7" s="12" t="str"/>
      <x:c r="L7" s="12" t="str"/>
      <x:c r="M7" s="12" t="str"/>
      <x:c r="N7" s="12" t="str">
        <x:v>原文或权威来源未披露时留空</x:v>
      </x:c>
    </x:row>
    <x:row r="8" ht="22" customHeight="1">
      <x:c r="A8" s="12" t="str">
        <x:v>W13IP003</x:v>
      </x:c>
      <x:c r="B8" s="12" t="str">
        <x:v>920016</x:v>
      </x:c>
      <x:c r="C8" s="12" t="str">
        <x:v>中草香料</x:v>
      </x:c>
      <x:c r="D8" s="12" t="str">
        <x:v>怀远亿达康企业管理咨询合伙企业（有限合伙</x:v>
      </x:c>
      <x:c r="E8" s="12" t="str">
        <x:v>机构投资者待核</x:v>
      </x:c>
      <x:c r="F8" s="12" t="str">
        <x:v>uncertain</x:v>
      </x:c>
      <x:c r="G8" s="12" t="str">
        <x:v>名称具有投资机构特征，但缺少基金属性证据</x:v>
      </x:c>
      <x:c r="H8" s="12" t="str">
        <x:v>36</x:v>
      </x:c>
      <x:c r="I8" s="12" t="n">
        <x:v>1</x:v>
      </x:c>
      <x:c r="J8" s="12" t="str">
        <x:v>待人工确认</x:v>
      </x:c>
      <x:c r="K8" s="12" t="str"/>
      <x:c r="L8" s="12" t="str"/>
      <x:c r="M8" s="12" t="str"/>
      <x:c r="N8" s="12" t="str">
        <x:v>原文或权威来源未披露时留空</x:v>
      </x:c>
    </x:row>
    <x:row r="9" ht="22" customHeight="1">
      <x:c r="A9" s="12" t="str">
        <x:v>W13IP004</x:v>
      </x:c>
      <x:c r="B9" s="12" t="str">
        <x:v>920016</x:v>
      </x:c>
      <x:c r="C9" s="12" t="str">
        <x:v>中草香料</x:v>
      </x:c>
      <x:c r="D9" s="12" t="str">
        <x:v>蚌埠市天使投资基金</x:v>
      </x:c>
      <x:c r="E9" s="12" t="str">
        <x:v>PE</x:v>
      </x:c>
      <x:c r="F9" s="12" t="str">
        <x:v>yes</x:v>
      </x:c>
      <x:c r="G9" s="12" t="str">
        <x:v>名称或上下文明确出现股权投资基金、私募或投资基金</x:v>
      </x:c>
      <x:c r="H9" s="12" t="str">
        <x:v>38、40、46</x:v>
      </x:c>
      <x:c r="I9" s="12" t="n">
        <x:v>8</x:v>
      </x:c>
      <x:c r="J9" s="12" t="str">
        <x:v>待人工确认</x:v>
      </x:c>
      <x:c r="K9" s="12" t="str"/>
      <x:c r="L9" s="12" t="str"/>
      <x:c r="M9" s="12" t="str"/>
      <x:c r="N9" s="12" t="str">
        <x:v>原文或权威来源未披露时留空</x:v>
      </x:c>
    </x:row>
    <x:row r="10" ht="22" customHeight="1">
      <x:c r="A10" s="12" t="str">
        <x:v>W13IP005</x:v>
      </x:c>
      <x:c r="B10" s="12" t="str">
        <x:v>920016</x:v>
      </x:c>
      <x:c r="C10" s="12" t="str">
        <x:v>中草香料</x:v>
      </x:c>
      <x:c r="D10" s="12" t="str">
        <x:v>铜陵高投毅达专精特新创业投资</x:v>
      </x:c>
      <x:c r="E10" s="12" t="str">
        <x:v>VC</x:v>
      </x:c>
      <x:c r="F10" s="12" t="str">
        <x:v>yes</x:v>
      </x:c>
      <x:c r="G10" s="12" t="str">
        <x:v>名称或上下文明确出现创业投资/创投</x:v>
      </x:c>
      <x:c r="H10" s="12" t="str">
        <x:v>46</x:v>
      </x:c>
      <x:c r="I10" s="12" t="n">
        <x:v>3</x:v>
      </x:c>
      <x:c r="J10" s="12" t="str">
        <x:v>待人工确认</x:v>
      </x:c>
      <x:c r="K10" s="12" t="str"/>
      <x:c r="L10" s="12" t="str"/>
      <x:c r="M10" s="12" t="str"/>
      <x:c r="N10" s="12" t="str">
        <x:v>原文或权威来源未披露时留空</x:v>
      </x:c>
    </x:row>
    <x:row r="11" ht="22" customHeight="1">
      <x:c r="A11" s="12" t="str">
        <x:v>W13IP006</x:v>
      </x:c>
      <x:c r="B11" s="12" t="str">
        <x:v>920016</x:v>
      </x:c>
      <x:c r="C11" s="12" t="str">
        <x:v>中草香料</x:v>
      </x:c>
      <x:c r="D11" s="12" t="str">
        <x:v>铜陵高投毅达专精特新创业投资基金</x:v>
      </x:c>
      <x:c r="E11" s="12" t="str">
        <x:v>VC</x:v>
      </x:c>
      <x:c r="F11" s="12" t="str">
        <x:v>yes</x:v>
      </x:c>
      <x:c r="G11" s="12" t="str">
        <x:v>名称或上下文明确出现创业投资/创投</x:v>
      </x:c>
      <x:c r="H11" s="12" t="str">
        <x:v>42</x:v>
      </x:c>
      <x:c r="I11" s="12" t="n">
        <x:v>3</x:v>
      </x:c>
      <x:c r="J11" s="12" t="str">
        <x:v>待人工确认</x:v>
      </x:c>
      <x:c r="K11" s="12" t="str"/>
      <x:c r="L11" s="12" t="str"/>
      <x:c r="M11" s="12" t="str"/>
      <x:c r="N11" s="12" t="str">
        <x:v>原文或权威来源未披露时留空</x:v>
      </x:c>
    </x:row>
    <x:row r="12" ht="22" customHeight="1">
      <x:c r="A12" s="12" t="str">
        <x:v>W13IP007</x:v>
      </x:c>
      <x:c r="B12" s="12" t="str">
        <x:v>920099</x:v>
      </x:c>
      <x:c r="C12" s="12" t="str">
        <x:v>瑞华技术</x:v>
      </x:c>
      <x:c r="D12" s="12" t="str">
        <x:v>中小企业发展基金（有限合伙</x:v>
      </x:c>
      <x:c r="E12" s="12" t="str">
        <x:v>机构投资者待核</x:v>
      </x:c>
      <x:c r="F12" s="12" t="str">
        <x:v>uncertain</x:v>
      </x:c>
      <x:c r="G12" s="12" t="str">
        <x:v>名称具有投资机构特征，但缺少基金属性证据</x:v>
      </x:c>
      <x:c r="H12" s="12" t="str">
        <x:v>35</x:v>
      </x:c>
      <x:c r="I12" s="12" t="n">
        <x:v>1</x:v>
      </x:c>
      <x:c r="J12" s="12" t="str">
        <x:v>待人工确认</x:v>
      </x:c>
      <x:c r="K12" s="12" t="str"/>
      <x:c r="L12" s="12" t="str"/>
      <x:c r="M12" s="12" t="str"/>
      <x:c r="N12" s="12" t="str">
        <x:v>原文或权威来源未披露时留空</x:v>
      </x:c>
    </x:row>
    <x:row r="13" ht="22" customHeight="1">
      <x:c r="A13" s="12" t="str">
        <x:v>W13IP008</x:v>
      </x:c>
      <x:c r="B13" s="12" t="str">
        <x:v>920099</x:v>
      </x:c>
      <x:c r="C13" s="12" t="str">
        <x:v>瑞华技术</x:v>
      </x:c>
      <x:c r="D13" s="12" t="str">
        <x:v>南京毅达资本</x:v>
      </x:c>
      <x:c r="E13" s="12" t="str">
        <x:v>机构投资者待核</x:v>
      </x:c>
      <x:c r="F13" s="12" t="str">
        <x:v>uncertain</x:v>
      </x:c>
      <x:c r="G13" s="12" t="str">
        <x:v>名称具有投资机构特征，但缺少基金属性证据</x:v>
      </x:c>
      <x:c r="H13" s="12" t="str">
        <x:v>42</x:v>
      </x:c>
      <x:c r="I13" s="12" t="n">
        <x:v>2</x:v>
      </x:c>
      <x:c r="J13" s="12" t="str">
        <x:v>待人工确认</x:v>
      </x:c>
      <x:c r="K13" s="12" t="str"/>
      <x:c r="L13" s="12" t="str"/>
      <x:c r="M13" s="12" t="str"/>
      <x:c r="N13" s="12" t="str">
        <x:v>原文或权威来源未披露时留空</x:v>
      </x:c>
    </x:row>
    <x:row r="14" ht="22" customHeight="1">
      <x:c r="A14" s="12" t="str">
        <x:v>W13IP009</x:v>
      </x:c>
      <x:c r="B14" s="12" t="str">
        <x:v>920099</x:v>
      </x:c>
      <x:c r="C14" s="12" t="str">
        <x:v>瑞华技术</x:v>
      </x:c>
      <x:c r="D14" s="12" t="str">
        <x:v>毅达创投</x:v>
      </x:c>
      <x:c r="E14" s="12" t="str">
        <x:v>VC</x:v>
      </x:c>
      <x:c r="F14" s="12" t="str">
        <x:v>yes</x:v>
      </x:c>
      <x:c r="G14" s="12" t="str">
        <x:v>名称或上下文明确出现创业投资/创投</x:v>
      </x:c>
      <x:c r="H14" s="12" t="str">
        <x:v>37、38、41、42、62</x:v>
      </x:c>
      <x:c r="I14" s="12" t="n">
        <x:v>5</x:v>
      </x:c>
      <x:c r="J14" s="12" t="str">
        <x:v>待人工确认</x:v>
      </x:c>
      <x:c r="K14" s="12" t="str"/>
      <x:c r="L14" s="12" t="str"/>
      <x:c r="M14" s="12" t="str"/>
      <x:c r="N14" s="12" t="str">
        <x:v>原文或权威来源未披露时留空</x:v>
      </x:c>
    </x:row>
    <x:row r="15" ht="22" customHeight="1">
      <x:c r="A15" s="12" t="str">
        <x:v>W13IP010</x:v>
      </x:c>
      <x:c r="B15" s="12" t="str">
        <x:v>920099</x:v>
      </x:c>
      <x:c r="C15" s="12" t="str">
        <x:v>瑞华技术</x:v>
      </x:c>
      <x:c r="D15" s="12" t="str">
        <x:v>江苏中小企业发展基金（有限合伙</x:v>
      </x:c>
      <x:c r="E15" s="12" t="str">
        <x:v>机构投资者待核</x:v>
      </x:c>
      <x:c r="F15" s="12" t="str">
        <x:v>uncertain</x:v>
      </x:c>
      <x:c r="G15" s="12" t="str">
        <x:v>名称具有投资机构特征，但缺少基金属性证据</x:v>
      </x:c>
      <x:c r="H15" s="12" t="str">
        <x:v>37</x:v>
      </x:c>
      <x:c r="I15" s="12" t="n">
        <x:v>1</x:v>
      </x:c>
      <x:c r="J15" s="12" t="str">
        <x:v>待人工确认</x:v>
      </x:c>
      <x:c r="K15" s="12" t="str"/>
      <x:c r="L15" s="12" t="str"/>
      <x:c r="M15" s="12" t="str"/>
      <x:c r="N15" s="12" t="str">
        <x:v>原文或权威来源未披露时留空</x:v>
      </x:c>
    </x:row>
    <x:row r="16" ht="22" customHeight="1">
      <x:c r="A16" s="12" t="str">
        <x:v>W13IP011</x:v>
      </x:c>
      <x:c r="B16" s="12" t="str">
        <x:v>920099</x:v>
      </x:c>
      <x:c r="C16" s="12" t="str">
        <x:v>瑞华技术</x:v>
      </x:c>
      <x:c r="D16" s="12" t="str">
        <x:v>江苏毅达成果创新创业投资基金</x:v>
      </x:c>
      <x:c r="E16" s="12" t="str">
        <x:v>VC</x:v>
      </x:c>
      <x:c r="F16" s="12" t="str">
        <x:v>yes</x:v>
      </x:c>
      <x:c r="G16" s="12" t="str">
        <x:v>名称或上下文明确出现创业投资/创投</x:v>
      </x:c>
      <x:c r="H16" s="12" t="str">
        <x:v>37</x:v>
      </x:c>
      <x:c r="I16" s="12" t="n">
        <x:v>1</x:v>
      </x:c>
      <x:c r="J16" s="12" t="str">
        <x:v>待人工确认</x:v>
      </x:c>
      <x:c r="K16" s="12" t="str"/>
      <x:c r="L16" s="12" t="str"/>
      <x:c r="M16" s="12" t="str"/>
      <x:c r="N16" s="12" t="str">
        <x:v>原文或权威来源未披露时留空</x:v>
      </x:c>
    </x:row>
    <x:row r="17" ht="22" customHeight="1">
      <x:c r="A17" s="12" t="str">
        <x:v>W13IP012</x:v>
      </x:c>
      <x:c r="B17" s="12" t="str">
        <x:v>920099</x:v>
      </x:c>
      <x:c r="C17" s="12" t="str">
        <x:v>瑞华技术</x:v>
      </x:c>
      <x:c r="D17" s="12" t="str">
        <x:v>江苏省政府投资基金</x:v>
      </x:c>
      <x:c r="E17" s="12" t="str">
        <x:v>政府基金/国资</x:v>
      </x:c>
      <x:c r="F17" s="12" t="str">
        <x:v>yes</x:v>
      </x:c>
      <x:c r="G17" s="12" t="str">
        <x:v>名称或上下文出现政府基金、引导基金或国资线索</x:v>
      </x:c>
      <x:c r="H17" s="12" t="str">
        <x:v>40</x:v>
      </x:c>
      <x:c r="I17" s="12" t="n">
        <x:v>1</x:v>
      </x:c>
      <x:c r="J17" s="12" t="str">
        <x:v>待人工确认</x:v>
      </x:c>
      <x:c r="K17" s="12" t="str"/>
      <x:c r="L17" s="12" t="str"/>
      <x:c r="M17" s="12" t="str"/>
      <x:c r="N17" s="12" t="str">
        <x:v>原文或权威来源未披露时留空</x:v>
      </x:c>
    </x:row>
    <x:row r="18" ht="22" customHeight="1">
      <x:c r="A18" s="12" t="str">
        <x:v>W13IP013</x:v>
      </x:c>
      <x:c r="B18" s="12" t="str">
        <x:v>920099</x:v>
      </x:c>
      <x:c r="C18" s="12" t="str">
        <x:v>瑞华技术</x:v>
      </x:c>
      <x:c r="D18" s="12" t="str">
        <x:v>江苏省现代服务业发展创业投资基金</x:v>
      </x:c>
      <x:c r="E18" s="12" t="str">
        <x:v>VC</x:v>
      </x:c>
      <x:c r="F18" s="12" t="str">
        <x:v>yes</x:v>
      </x:c>
      <x:c r="G18" s="12" t="str">
        <x:v>名称或上下文明确出现创业投资/创投</x:v>
      </x:c>
      <x:c r="H18" s="12" t="str">
        <x:v>37、38</x:v>
      </x:c>
      <x:c r="I18" s="12" t="n">
        <x:v>2</x:v>
      </x:c>
      <x:c r="J18" s="12" t="str">
        <x:v>待人工确认</x:v>
      </x:c>
      <x:c r="K18" s="12" t="str"/>
      <x:c r="L18" s="12" t="str"/>
      <x:c r="M18" s="12" t="str"/>
      <x:c r="N18" s="12" t="str">
        <x:v>原文或权威来源未披露时留空</x:v>
      </x:c>
    </x:row>
    <x:row r="19" ht="22" customHeight="1">
      <x:c r="A19" s="12" t="str">
        <x:v>W13IP014</x:v>
      </x:c>
      <x:c r="B19" s="12" t="str">
        <x:v>920099</x:v>
      </x:c>
      <x:c r="C19" s="12" t="str">
        <x:v>瑞华技术</x:v>
      </x:c>
      <x:c r="D19" s="12" t="str">
        <x:v>现代创投</x:v>
      </x:c>
      <x:c r="E19" s="12" t="str">
        <x:v>VC</x:v>
      </x:c>
      <x:c r="F19" s="12" t="str">
        <x:v>yes</x:v>
      </x:c>
      <x:c r="G19" s="12" t="str">
        <x:v>名称或上下文明确出现创业投资/创投</x:v>
      </x:c>
      <x:c r="H19" s="12" t="str">
        <x:v>37、39、41、42、62</x:v>
      </x:c>
      <x:c r="I19" s="12" t="n">
        <x:v>5</x:v>
      </x:c>
      <x:c r="J19" s="12" t="str">
        <x:v>待人工确认</x:v>
      </x:c>
      <x:c r="K19" s="12" t="str"/>
      <x:c r="L19" s="12" t="str"/>
      <x:c r="M19" s="12" t="str"/>
      <x:c r="N19" s="12" t="str">
        <x:v>原文或权威来源未披露时留空</x:v>
      </x:c>
    </x:row>
    <x:row r="20" ht="22" customHeight="1">
      <x:c r="A20" s="12" t="str">
        <x:v>W13IP015</x:v>
      </x:c>
      <x:c r="B20" s="12" t="str">
        <x:v>920118</x:v>
      </x:c>
      <x:c r="C20" s="12" t="str">
        <x:v>太湖远大</x:v>
      </x:c>
      <x:c r="D20" s="12" t="str">
        <x:v>南京凯路一期股权投资</x:v>
      </x:c>
      <x:c r="E20" s="12" t="str">
        <x:v>PE</x:v>
      </x:c>
      <x:c r="F20" s="12" t="str">
        <x:v>yes</x:v>
      </x:c>
      <x:c r="G20" s="12" t="str">
        <x:v>名称或上下文明确出现股权投资基金、私募或投资基金</x:v>
      </x:c>
      <x:c r="H20" s="12" t="str">
        <x:v>36</x:v>
      </x:c>
      <x:c r="I20" s="12" t="n">
        <x:v>1</x:v>
      </x:c>
      <x:c r="J20" s="12" t="str">
        <x:v>待人工确认</x:v>
      </x:c>
      <x:c r="K20" s="12" t="str"/>
      <x:c r="L20" s="12" t="str"/>
      <x:c r="M20" s="12" t="str"/>
      <x:c r="N20" s="12" t="str">
        <x:v>原文或权威来源未披露时留空</x:v>
      </x:c>
    </x:row>
    <x:row r="21" ht="22" customHeight="1">
      <x:c r="A21" s="12" t="str">
        <x:v>W13IP016</x:v>
      </x:c>
      <x:c r="B21" s="12" t="str">
        <x:v>920118</x:v>
      </x:c>
      <x:c r="C21" s="12" t="str">
        <x:v>太湖远大</x:v>
      </x:c>
      <x:c r="D21" s="12" t="str">
        <x:v>南京成贤一期创业投资</x:v>
      </x:c>
      <x:c r="E21" s="12" t="str">
        <x:v>VC</x:v>
      </x:c>
      <x:c r="F21" s="12" t="str">
        <x:v>yes</x:v>
      </x:c>
      <x:c r="G21" s="12" t="str">
        <x:v>名称或上下文明确出现创业投资/创投</x:v>
      </x:c>
      <x:c r="H21" s="12" t="str">
        <x:v>37</x:v>
      </x:c>
      <x:c r="I21" s="12" t="n">
        <x:v>1</x:v>
      </x:c>
      <x:c r="J21" s="12" t="str">
        <x:v>待人工确认</x:v>
      </x:c>
      <x:c r="K21" s="12" t="str"/>
      <x:c r="L21" s="12" t="str"/>
      <x:c r="M21" s="12" t="str"/>
      <x:c r="N21" s="12" t="str">
        <x:v>原文或权威来源未披露时留空</x:v>
      </x:c>
    </x:row>
    <x:row r="22" ht="22" customHeight="1">
      <x:c r="A22" s="12" t="str">
        <x:v>W13IP017</x:v>
      </x:c>
      <x:c r="B22" s="12" t="str">
        <x:v>920118</x:v>
      </x:c>
      <x:c r="C22" s="12" t="str">
        <x:v>太湖远大</x:v>
      </x:c>
      <x:c r="D22" s="12" t="str">
        <x:v>博创投</x:v>
      </x:c>
      <x:c r="E22" s="12" t="str">
        <x:v>VC</x:v>
      </x:c>
      <x:c r="F22" s="12" t="str">
        <x:v>yes</x:v>
      </x:c>
      <x:c r="G22" s="12" t="str">
        <x:v>名称或上下文明确出现创业投资/创投</x:v>
      </x:c>
      <x:c r="H22" s="12" t="str">
        <x:v>38、39、42、43</x:v>
      </x:c>
      <x:c r="I22" s="12" t="n">
        <x:v>6</x:v>
      </x:c>
      <x:c r="J22" s="12" t="str">
        <x:v>待人工确认</x:v>
      </x:c>
      <x:c r="K22" s="12" t="str"/>
      <x:c r="L22" s="12" t="str"/>
      <x:c r="M22" s="12" t="str"/>
      <x:c r="N22" s="12" t="str">
        <x:v>原文或权威来源未披露时留空</x:v>
      </x:c>
    </x:row>
    <x:row r="23" ht="22" customHeight="1">
      <x:c r="A23" s="12" t="str">
        <x:v>W13IP018</x:v>
      </x:c>
      <x:c r="B23" s="12" t="str">
        <x:v>920118</x:v>
      </x:c>
      <x:c r="C23" s="12" t="str">
        <x:v>太湖远大</x:v>
      </x:c>
      <x:c r="D23" s="12" t="str">
        <x:v>江苏鑫泽创业投资</x:v>
      </x:c>
      <x:c r="E23" s="12" t="str">
        <x:v>VC</x:v>
      </x:c>
      <x:c r="F23" s="12" t="str">
        <x:v>yes</x:v>
      </x:c>
      <x:c r="G23" s="12" t="str">
        <x:v>名称或上下文明确出现创业投资/创投</x:v>
      </x:c>
      <x:c r="H23" s="12" t="str">
        <x:v>36、37</x:v>
      </x:c>
      <x:c r="I23" s="12" t="n">
        <x:v>2</x:v>
      </x:c>
      <x:c r="J23" s="12" t="str">
        <x:v>待人工确认</x:v>
      </x:c>
      <x:c r="K23" s="12" t="str"/>
      <x:c r="L23" s="12" t="str"/>
      <x:c r="M23" s="12" t="str"/>
      <x:c r="N23" s="12" t="str">
        <x:v>原文或权威来源未披露时留空</x:v>
      </x:c>
    </x:row>
    <x:row r="24" ht="22" customHeight="1">
      <x:c r="A24" s="12" t="str">
        <x:v>W13IP019</x:v>
      </x:c>
      <x:c r="B24" s="12" t="str">
        <x:v>920118</x:v>
      </x:c>
      <x:c r="C24" s="12" t="str">
        <x:v>太湖远大</x:v>
      </x:c>
      <x:c r="D24" s="12" t="str">
        <x:v>湖州博创投</x:v>
      </x:c>
      <x:c r="E24" s="12" t="str">
        <x:v>VC</x:v>
      </x:c>
      <x:c r="F24" s="12" t="str">
        <x:v>yes</x:v>
      </x:c>
      <x:c r="G24" s="12" t="str">
        <x:v>名称或上下文明确出现创业投资/创投</x:v>
      </x:c>
      <x:c r="H24" s="12" t="str">
        <x:v>39</x:v>
      </x:c>
      <x:c r="I24" s="12" t="n">
        <x:v>1</x:v>
      </x:c>
      <x:c r="J24" s="12" t="str">
        <x:v>待人工确认</x:v>
      </x:c>
      <x:c r="K24" s="12" t="str"/>
      <x:c r="L24" s="12" t="str"/>
      <x:c r="M24" s="12" t="str"/>
      <x:c r="N24" s="12" t="str">
        <x:v>原文或权威来源未披露时留空</x:v>
      </x:c>
    </x:row>
    <x:row r="25" ht="22" customHeight="1">
      <x:c r="A25" s="12" t="str">
        <x:v>W13IP020</x:v>
      </x:c>
      <x:c r="B25" s="12" t="str">
        <x:v>920118</x:v>
      </x:c>
      <x:c r="C25" s="12" t="str">
        <x:v>太湖远大</x:v>
      </x:c>
      <x:c r="D25" s="12" t="str">
        <x:v>英豪（海南）创业投资</x:v>
      </x:c>
      <x:c r="E25" s="12" t="str">
        <x:v>VC</x:v>
      </x:c>
      <x:c r="F25" s="12" t="str">
        <x:v>yes</x:v>
      </x:c>
      <x:c r="G25" s="12" t="str">
        <x:v>名称或上下文明确出现创业投资/创投</x:v>
      </x:c>
      <x:c r="H25" s="12" t="str">
        <x:v>37</x:v>
      </x:c>
      <x:c r="I25" s="12" t="n">
        <x:v>1</x:v>
      </x:c>
      <x:c r="J25" s="12" t="str">
        <x:v>待人工确认</x:v>
      </x:c>
      <x:c r="K25" s="12" t="str"/>
      <x:c r="L25" s="12" t="str"/>
      <x:c r="M25" s="12" t="str"/>
      <x:c r="N25" s="12" t="str">
        <x:v>原文或权威来源未披露时留空</x:v>
      </x:c>
    </x:row>
    <x:row r="26" ht="22" customHeight="1">
      <x:c r="A26" s="12" t="str">
        <x:v>W13IP021</x:v>
      </x:c>
      <x:c r="B26" s="12" t="str">
        <x:v>920118</x:v>
      </x:c>
      <x:c r="C26" s="12" t="str">
        <x:v>太湖远大</x:v>
      </x:c>
      <x:c r="D26" s="12" t="str">
        <x:v>资管理中心（有限合伙</x:v>
      </x:c>
      <x:c r="E26" s="12" t="str">
        <x:v>机构投资者待核</x:v>
      </x:c>
      <x:c r="F26" s="12" t="str">
        <x:v>uncertain</x:v>
      </x:c>
      <x:c r="G26" s="12" t="str">
        <x:v>名称具有投资机构特征，但缺少基金属性证据</x:v>
      </x:c>
      <x:c r="H26" s="12" t="str">
        <x:v>39</x:v>
      </x:c>
      <x:c r="I26" s="12" t="n">
        <x:v>1</x:v>
      </x:c>
      <x:c r="J26" s="12" t="str">
        <x:v>待人工确认</x:v>
      </x:c>
      <x:c r="K26" s="12" t="str"/>
      <x:c r="L26" s="12" t="str"/>
      <x:c r="M26" s="12" t="str"/>
      <x:c r="N26" s="12" t="str">
        <x:v>原文或权威来源未披露时留空</x:v>
      </x:c>
    </x:row>
    <x:row r="27" ht="22" customHeight="1">
      <x:c r="A27" s="12" t="str">
        <x:v>W13IP022</x:v>
      </x:c>
      <x:c r="B27" s="12" t="str">
        <x:v>920123</x:v>
      </x:c>
      <x:c r="C27" s="12" t="str">
        <x:v>芭薇股份</x:v>
      </x:c>
      <x:c r="D27" s="12" t="str">
        <x:v>共青城黑石投资管理</x:v>
      </x:c>
      <x:c r="E27" s="12" t="str">
        <x:v>机构投资者待核</x:v>
      </x:c>
      <x:c r="F27" s="12" t="str">
        <x:v>uncertain</x:v>
      </x:c>
      <x:c r="G27" s="12" t="str">
        <x:v>名称具有投资机构特征，但缺少基金属性证据</x:v>
      </x:c>
      <x:c r="H27" s="12" t="str">
        <x:v>45</x:v>
      </x:c>
      <x:c r="I27" s="12" t="n">
        <x:v>1</x:v>
      </x:c>
      <x:c r="J27" s="12" t="str">
        <x:v>待人工确认</x:v>
      </x:c>
      <x:c r="K27" s="12" t="str"/>
      <x:c r="L27" s="12" t="str"/>
      <x:c r="M27" s="12" t="str"/>
      <x:c r="N27" s="12" t="str">
        <x:v>原文或权威来源未披露时留空</x:v>
      </x:c>
    </x:row>
    <x:row r="28" ht="22" customHeight="1">
      <x:c r="A28" s="12" t="str">
        <x:v>W13IP023</x:v>
      </x:c>
      <x:c r="B28" s="12" t="str">
        <x:v>920123</x:v>
      </x:c>
      <x:c r="C28" s="12" t="str">
        <x:v>芭薇股份</x:v>
      </x:c>
      <x:c r="D28" s="12" t="str">
        <x:v>安义同创宏图创业投资</x:v>
      </x:c>
      <x:c r="E28" s="12" t="str">
        <x:v>VC</x:v>
      </x:c>
      <x:c r="F28" s="12" t="str">
        <x:v>yes</x:v>
      </x:c>
      <x:c r="G28" s="12" t="str">
        <x:v>名称或上下文明确出现创业投资/创投</x:v>
      </x:c>
      <x:c r="H28" s="12" t="str">
        <x:v>45</x:v>
      </x:c>
      <x:c r="I28" s="12" t="n">
        <x:v>1</x:v>
      </x:c>
      <x:c r="J28" s="12" t="str">
        <x:v>待人工确认</x:v>
      </x:c>
      <x:c r="K28" s="12" t="str"/>
      <x:c r="L28" s="12" t="str"/>
      <x:c r="M28" s="12" t="str"/>
      <x:c r="N28" s="12" t="str">
        <x:v>原文或权威来源未披露时留空</x:v>
      </x:c>
    </x:row>
    <x:row r="29" ht="22" customHeight="1">
      <x:c r="A29" s="12" t="str">
        <x:v>W13IP024</x:v>
      </x:c>
      <x:c r="B29" s="12" t="str">
        <x:v>920123</x:v>
      </x:c>
      <x:c r="C29" s="12" t="str">
        <x:v>芭薇股份</x:v>
      </x:c>
      <x:c r="D29" s="12" t="str">
        <x:v>工银（深圳）股权投资基金</x:v>
      </x:c>
      <x:c r="E29" s="12" t="str">
        <x:v>PE</x:v>
      </x:c>
      <x:c r="F29" s="12" t="str">
        <x:v>yes</x:v>
      </x:c>
      <x:c r="G29" s="12" t="str">
        <x:v>名称或上下文明确出现股权投资基金、私募或投资基金</x:v>
      </x:c>
      <x:c r="H29" s="12" t="str">
        <x:v>47</x:v>
      </x:c>
      <x:c r="I29" s="12" t="n">
        <x:v>1</x:v>
      </x:c>
      <x:c r="J29" s="12" t="str">
        <x:v>待人工确认</x:v>
      </x:c>
      <x:c r="K29" s="12" t="str"/>
      <x:c r="L29" s="12" t="str"/>
      <x:c r="M29" s="12" t="str"/>
      <x:c r="N29" s="12" t="str">
        <x:v>原文或权威来源未披露时留空</x:v>
      </x:c>
    </x:row>
    <x:row r="30" ht="22" customHeight="1">
      <x:c r="A30" s="12" t="str">
        <x:v>W13IP025</x:v>
      </x:c>
      <x:c r="B30" s="12" t="str">
        <x:v>920123</x:v>
      </x:c>
      <x:c r="C30" s="12" t="str">
        <x:v>芭薇股份</x:v>
      </x:c>
      <x:c r="D30" s="12" t="str">
        <x:v>广州市白云投资基金</x:v>
      </x:c>
      <x:c r="E30" s="12" t="str">
        <x:v>PE</x:v>
      </x:c>
      <x:c r="F30" s="12" t="str">
        <x:v>yes</x:v>
      </x:c>
      <x:c r="G30" s="12" t="str">
        <x:v>名称或上下文明确出现股权投资基金、私募或投资基金</x:v>
      </x:c>
      <x:c r="H30" s="12" t="str">
        <x:v>44</x:v>
      </x:c>
      <x:c r="I30" s="12" t="n">
        <x:v>1</x:v>
      </x:c>
      <x:c r="J30" s="12" t="str">
        <x:v>待人工确认</x:v>
      </x:c>
      <x:c r="K30" s="12" t="str"/>
      <x:c r="L30" s="12" t="str"/>
      <x:c r="M30" s="12" t="str"/>
      <x:c r="N30" s="12" t="str">
        <x:v>原文或权威来源未披露时留空</x:v>
      </x:c>
    </x:row>
    <x:row r="31" ht="22" customHeight="1">
      <x:c r="A31" s="12" t="str">
        <x:v>W13IP026</x:v>
      </x:c>
      <x:c r="B31" s="12" t="str">
        <x:v>920123</x:v>
      </x:c>
      <x:c r="C31" s="12" t="str">
        <x:v>芭薇股份</x:v>
      </x:c>
      <x:c r="D31" s="12" t="str">
        <x:v>新余同创佳华投资合伙企业（有限合伙</x:v>
      </x:c>
      <x:c r="E31" s="12" t="str">
        <x:v>机构投资者待核</x:v>
      </x:c>
      <x:c r="F31" s="12" t="str">
        <x:v>uncertain</x:v>
      </x:c>
      <x:c r="G31" s="12" t="str">
        <x:v>名称具有投资机构特征，但缺少基金属性证据</x:v>
      </x:c>
      <x:c r="H31" s="12" t="str">
        <x:v>45</x:v>
      </x:c>
      <x:c r="I31" s="12" t="n">
        <x:v>1</x:v>
      </x:c>
      <x:c r="J31" s="12" t="str">
        <x:v>待人工确认</x:v>
      </x:c>
      <x:c r="K31" s="12" t="str"/>
      <x:c r="L31" s="12" t="str"/>
      <x:c r="M31" s="12" t="str"/>
      <x:c r="N31" s="12" t="str">
        <x:v>原文或权威来源未披露时留空</x:v>
      </x:c>
    </x:row>
    <x:row r="32" ht="22" customHeight="1">
      <x:c r="A32" s="12" t="str">
        <x:v>W13IP027</x:v>
      </x:c>
      <x:c r="B32" s="12" t="str">
        <x:v>920123</x:v>
      </x:c>
      <x:c r="C32" s="12" t="str">
        <x:v>芭薇股份</x:v>
      </x:c>
      <x:c r="D32" s="12" t="str">
        <x:v>杭州叩问股权投资</x:v>
      </x:c>
      <x:c r="E32" s="12" t="str">
        <x:v>PE</x:v>
      </x:c>
      <x:c r="F32" s="12" t="str">
        <x:v>yes</x:v>
      </x:c>
      <x:c r="G32" s="12" t="str">
        <x:v>名称或上下文明确出现股权投资基金、私募或投资基金</x:v>
      </x:c>
      <x:c r="H32" s="12" t="str">
        <x:v>44</x:v>
      </x:c>
      <x:c r="I32" s="12" t="n">
        <x:v>1</x:v>
      </x:c>
      <x:c r="J32" s="12" t="str">
        <x:v>待人工确认</x:v>
      </x:c>
      <x:c r="K32" s="12" t="str"/>
      <x:c r="L32" s="12" t="str"/>
      <x:c r="M32" s="12" t="str"/>
      <x:c r="N32" s="12" t="str">
        <x:v>原文或权威来源未披露时留空</x:v>
      </x:c>
    </x:row>
    <x:row r="33" ht="22" customHeight="1">
      <x:c r="A33" s="12" t="str">
        <x:v>W13IP028</x:v>
      </x:c>
      <x:c r="B33" s="12" t="str">
        <x:v>920123</x:v>
      </x:c>
      <x:c r="C33" s="12" t="str">
        <x:v>芭薇股份</x:v>
      </x:c>
      <x:c r="D33" s="12" t="str">
        <x:v>浙江余杭转型升级产业投资</x:v>
      </x:c>
      <x:c r="E33" s="12" t="str">
        <x:v>CVC候选</x:v>
      </x:c>
      <x:c r="F33" s="12" t="str">
        <x:v>uncertain</x:v>
      </x:c>
      <x:c r="G33" s="12" t="str">
        <x:v>产业投资名称只能形成CVC候选，仍需核验出资人与主营关系</x:v>
      </x:c>
      <x:c r="H33" s="12" t="str">
        <x:v>45</x:v>
      </x:c>
      <x:c r="I33" s="12" t="n">
        <x:v>1</x:v>
      </x:c>
      <x:c r="J33" s="12" t="str">
        <x:v>待人工确认</x:v>
      </x:c>
      <x:c r="K33" s="12" t="str"/>
      <x:c r="L33" s="12" t="str"/>
      <x:c r="M33" s="12" t="str"/>
      <x:c r="N33" s="12" t="str">
        <x:v>原文或权威来源未披露时留空</x:v>
      </x:c>
    </x:row>
    <x:row r="34" ht="22" customHeight="1">
      <x:c r="A34" s="12" t="str">
        <x:v>W13IP029</x:v>
      </x:c>
      <x:c r="B34" s="12" t="str">
        <x:v>920123</x:v>
      </x:c>
      <x:c r="C34" s="12" t="str">
        <x:v>芭薇股份</x:v>
      </x:c>
      <x:c r="D34" s="12" t="str">
        <x:v>深圳南海成长同盛股权投资基金</x:v>
      </x:c>
      <x:c r="E34" s="12" t="str">
        <x:v>PE</x:v>
      </x:c>
      <x:c r="F34" s="12" t="str">
        <x:v>yes</x:v>
      </x:c>
      <x:c r="G34" s="12" t="str">
        <x:v>名称或上下文明确出现股权投资基金、私募或投资基金</x:v>
      </x:c>
      <x:c r="H34" s="12" t="str">
        <x:v>47</x:v>
      </x:c>
      <x:c r="I34" s="12" t="n">
        <x:v>1</x:v>
      </x:c>
      <x:c r="J34" s="12" t="str">
        <x:v>待人工确认</x:v>
      </x:c>
      <x:c r="K34" s="12" t="str"/>
      <x:c r="L34" s="12" t="str"/>
      <x:c r="M34" s="12" t="str"/>
      <x:c r="N34" s="12" t="str">
        <x:v>原文或权威来源未披露时留空</x:v>
      </x:c>
    </x:row>
    <x:row r="35" ht="22" customHeight="1">
      <x:c r="A35" s="12" t="str">
        <x:v>W13IP030</x:v>
      </x:c>
      <x:c r="B35" s="12" t="str">
        <x:v>920123</x:v>
      </x:c>
      <x:c r="C35" s="12" t="str">
        <x:v>芭薇股份</x:v>
      </x:c>
      <x:c r="D35" s="12" t="str">
        <x:v>芭薇有限合伙</x:v>
      </x:c>
      <x:c r="E35" s="12" t="str">
        <x:v>机构投资者待核</x:v>
      </x:c>
      <x:c r="F35" s="12" t="str">
        <x:v>uncertain</x:v>
      </x:c>
      <x:c r="G35" s="12" t="str">
        <x:v>名称具有投资机构特征，但缺少基金属性证据</x:v>
      </x:c>
      <x:c r="H35" s="12" t="str">
        <x:v>35、36</x:v>
      </x:c>
      <x:c r="I35" s="12" t="n">
        <x:v>3</x:v>
      </x:c>
      <x:c r="J35" s="12" t="str">
        <x:v>待人工确认</x:v>
      </x:c>
      <x:c r="K35" s="12" t="str"/>
      <x:c r="L35" s="12" t="str"/>
      <x:c r="M35" s="12" t="str"/>
      <x:c r="N35" s="12" t="str">
        <x:v>原文或权威来源未披露时留空</x:v>
      </x:c>
    </x:row>
    <x:row r="36" ht="22" customHeight="1">
      <x:c r="A36" s="12" t="str">
        <x:v>W13IP031</x:v>
      </x:c>
      <x:c r="B36" s="12" t="str">
        <x:v>920304</x:v>
      </x:c>
      <x:c r="C36" s="12" t="str">
        <x:v>迪尔化工</x:v>
      </x:c>
      <x:c r="D36" s="12" t="str">
        <x:v>泰安市众城企业管理咨询合伙企业（有限合伙</x:v>
      </x:c>
      <x:c r="E36" s="12" t="str">
        <x:v>机构投资者待核</x:v>
      </x:c>
      <x:c r="F36" s="12" t="str">
        <x:v>uncertain</x:v>
      </x:c>
      <x:c r="G36" s="12" t="str">
        <x:v>名称具有投资机构特征，但缺少基金属性证据</x:v>
      </x:c>
      <x:c r="H36" s="12" t="str">
        <x:v>31</x:v>
      </x:c>
      <x:c r="I36" s="12" t="n">
        <x:v>1</x:v>
      </x:c>
      <x:c r="J36" s="12" t="str">
        <x:v>待人工确认</x:v>
      </x:c>
      <x:c r="K36" s="12" t="str"/>
      <x:c r="L36" s="12" t="str"/>
      <x:c r="M36" s="12" t="str"/>
      <x:c r="N36" s="12" t="str">
        <x:v>原文或权威来源未披露时留空</x:v>
      </x:c>
    </x:row>
    <x:row r="37" ht="22" customHeight="1">
      <x:c r="A37" s="12" t="str">
        <x:v>W13IP032</x:v>
      </x:c>
      <x:c r="B37" s="12" t="str">
        <x:v>920304</x:v>
      </x:c>
      <x:c r="C37" s="12" t="str">
        <x:v>迪尔化工</x:v>
      </x:c>
      <x:c r="D37" s="12" t="str">
        <x:v>泰安市华懋投资合伙企业</x:v>
      </x:c>
      <x:c r="E37" s="12" t="str">
        <x:v>机构投资者待核</x:v>
      </x:c>
      <x:c r="F37" s="12" t="str">
        <x:v>uncertain</x:v>
      </x:c>
      <x:c r="G37" s="12" t="str">
        <x:v>名称具有投资机构特征，但缺少基金属性证据</x:v>
      </x:c>
      <x:c r="H37" s="12" t="str">
        <x:v>41</x:v>
      </x:c>
      <x:c r="I37" s="12" t="n">
        <x:v>1</x:v>
      </x:c>
      <x:c r="J37" s="12" t="str">
        <x:v>待人工确认</x:v>
      </x:c>
      <x:c r="K37" s="12" t="str"/>
      <x:c r="L37" s="12" t="str"/>
      <x:c r="M37" s="12" t="str"/>
      <x:c r="N37" s="12" t="str">
        <x:v>原文或权威来源未披露时留空</x:v>
      </x:c>
    </x:row>
    <x:row r="38" ht="22" customHeight="1">
      <x:c r="A38" s="12" t="str">
        <x:v>W13IP033</x:v>
      </x:c>
      <x:c r="B38" s="12" t="str">
        <x:v>920304</x:v>
      </x:c>
      <x:c r="C38" s="12" t="str">
        <x:v>迪尔化工</x:v>
      </x:c>
      <x:c r="D38" s="12" t="str">
        <x:v>泰安市道和投资合伙企业（有限合伙</x:v>
      </x:c>
      <x:c r="E38" s="12" t="str">
        <x:v>机构投资者待核</x:v>
      </x:c>
      <x:c r="F38" s="12" t="str">
        <x:v>uncertain</x:v>
      </x:c>
      <x:c r="G38" s="12" t="str">
        <x:v>名称具有投资机构特征，但缺少基金属性证据</x:v>
      </x:c>
      <x:c r="H38" s="12" t="str">
        <x:v>31</x:v>
      </x:c>
      <x:c r="I38" s="12" t="n">
        <x:v>1</x:v>
      </x:c>
      <x:c r="J38" s="12" t="str">
        <x:v>待人工确认</x:v>
      </x:c>
      <x:c r="K38" s="12" t="str"/>
      <x:c r="L38" s="12" t="str"/>
      <x:c r="M38" s="12" t="str"/>
      <x:c r="N38" s="12" t="str">
        <x:v>原文或权威来源未披露时留空</x:v>
      </x:c>
    </x:row>
    <x:row r="39" ht="22" customHeight="1">
      <x:c r="A39" s="12" t="str">
        <x:v>W13IP034</x:v>
      </x:c>
      <x:c r="B39" s="12" t="str">
        <x:v>920304</x:v>
      </x:c>
      <x:c r="C39" s="12" t="str">
        <x:v>迪尔化工</x:v>
      </x:c>
      <x:c r="D39" s="12" t="str">
        <x:v>济南泽惠股权投资</x:v>
      </x:c>
      <x:c r="E39" s="12" t="str">
        <x:v>PE</x:v>
      </x:c>
      <x:c r="F39" s="12" t="str">
        <x:v>yes</x:v>
      </x:c>
      <x:c r="G39" s="12" t="str">
        <x:v>名称或上下文明确出现股权投资基金、私募或投资基金</x:v>
      </x:c>
      <x:c r="H39" s="12" t="str">
        <x:v>31</x:v>
      </x:c>
      <x:c r="I39" s="12" t="n">
        <x:v>1</x:v>
      </x:c>
      <x:c r="J39" s="12" t="str">
        <x:v>待人工确认</x:v>
      </x:c>
      <x:c r="K39" s="12" t="str"/>
      <x:c r="L39" s="12" t="str"/>
      <x:c r="M39" s="12" t="str"/>
      <x:c r="N39" s="12" t="str">
        <x:v>原文或权威来源未披露时留空</x:v>
      </x:c>
    </x:row>
    <x:row r="40" ht="22" customHeight="1">
      <x:c r="A40" s="12" t="str">
        <x:v>W13IP035</x:v>
      </x:c>
      <x:c r="B40" s="12" t="str">
        <x:v>920438</x:v>
      </x:c>
      <x:c r="C40" s="12" t="str">
        <x:v>戈碧迦</x:v>
      </x:c>
      <x:c r="D40" s="12" t="str">
        <x:v>上海怀德投资管理</x:v>
      </x:c>
      <x:c r="E40" s="12" t="str">
        <x:v>机构投资者待核</x:v>
      </x:c>
      <x:c r="F40" s="12" t="str">
        <x:v>uncertain</x:v>
      </x:c>
      <x:c r="G40" s="12" t="str">
        <x:v>名称具有投资机构特征，但缺少基金属性证据</x:v>
      </x:c>
      <x:c r="H40" s="12" t="str">
        <x:v>55</x:v>
      </x:c>
      <x:c r="I40" s="12" t="n">
        <x:v>1</x:v>
      </x:c>
      <x:c r="J40" s="12" t="str">
        <x:v>待人工确认</x:v>
      </x:c>
      <x:c r="K40" s="12" t="str"/>
      <x:c r="L40" s="12" t="str"/>
      <x:c r="M40" s="12" t="str"/>
      <x:c r="N40" s="12" t="str">
        <x:v>原文或权威来源未披露时留空</x:v>
      </x:c>
    </x:row>
    <x:row r="41" ht="22" customHeight="1">
      <x:c r="A41" s="12" t="str">
        <x:v>W13IP036</x:v>
      </x:c>
      <x:c r="B41" s="12" t="str">
        <x:v>920438</x:v>
      </x:c>
      <x:c r="C41" s="12" t="str">
        <x:v>戈碧迦</x:v>
      </x:c>
      <x:c r="D41" s="12" t="str">
        <x:v>武汉潜龙创业投资</x:v>
      </x:c>
      <x:c r="E41" s="12" t="str">
        <x:v>VC</x:v>
      </x:c>
      <x:c r="F41" s="12" t="str">
        <x:v>yes</x:v>
      </x:c>
      <x:c r="G41" s="12" t="str">
        <x:v>名称或上下文明确出现创业投资/创投</x:v>
      </x:c>
      <x:c r="H41" s="12" t="str">
        <x:v>43、45、55</x:v>
      </x:c>
      <x:c r="I41" s="12" t="n">
        <x:v>3</x:v>
      </x:c>
      <x:c r="J41" s="12" t="str">
        <x:v>待人工确认</x:v>
      </x:c>
      <x:c r="K41" s="12" t="str"/>
      <x:c r="L41" s="12" t="str"/>
      <x:c r="M41" s="12" t="str"/>
      <x:c r="N41" s="12" t="str">
        <x:v>原文或权威来源未披露时留空</x:v>
      </x:c>
    </x:row>
    <x:row r="42" ht="22" customHeight="1">
      <x:c r="A42" s="12" t="str">
        <x:v>W13IP037</x:v>
      </x:c>
      <x:c r="B42" s="12" t="str">
        <x:v>920438</x:v>
      </x:c>
      <x:c r="C42" s="12" t="str">
        <x:v>戈碧迦</x:v>
      </x:c>
      <x:c r="D42" s="12" t="str">
        <x:v>深圳市西博光学材料创投</x:v>
      </x:c>
      <x:c r="E42" s="12" t="str">
        <x:v>VC</x:v>
      </x:c>
      <x:c r="F42" s="12" t="str">
        <x:v>yes</x:v>
      </x:c>
      <x:c r="G42" s="12" t="str">
        <x:v>名称或上下文明确出现创业投资/创投</x:v>
      </x:c>
      <x:c r="H42" s="12" t="str">
        <x:v>55</x:v>
      </x:c>
      <x:c r="I42" s="12" t="n">
        <x:v>1</x:v>
      </x:c>
      <x:c r="J42" s="12" t="str">
        <x:v>待人工确认</x:v>
      </x:c>
      <x:c r="K42" s="12" t="str"/>
      <x:c r="L42" s="12" t="str"/>
      <x:c r="M42" s="12" t="str"/>
      <x:c r="N42" s="12" t="str">
        <x:v>原文或权威来源未披露时留空</x:v>
      </x:c>
    </x:row>
    <x:row r="43" ht="22" customHeight="1">
      <x:c r="A43" s="12" t="str">
        <x:v>W13IP038</x:v>
      </x:c>
      <x:c r="B43" s="12" t="str">
        <x:v>920438</x:v>
      </x:c>
      <x:c r="C43" s="12" t="str">
        <x:v>戈碧迦</x:v>
      </x:c>
      <x:c r="D43" s="12" t="str">
        <x:v>秭归弘毅企业管理咨询中心（有限合伙</x:v>
      </x:c>
      <x:c r="E43" s="12" t="str">
        <x:v>机构投资者待核</x:v>
      </x:c>
      <x:c r="F43" s="12" t="str">
        <x:v>uncertain</x:v>
      </x:c>
      <x:c r="G43" s="12" t="str">
        <x:v>名称具有投资机构特征，但缺少基金属性证据</x:v>
      </x:c>
      <x:c r="H43" s="12" t="str">
        <x:v>47、48</x:v>
      </x:c>
      <x:c r="I43" s="12" t="n">
        <x:v>2</x:v>
      </x:c>
      <x:c r="J43" s="12" t="str">
        <x:v>待人工确认</x:v>
      </x:c>
      <x:c r="K43" s="12" t="str"/>
      <x:c r="L43" s="12" t="str"/>
      <x:c r="M43" s="12" t="str"/>
      <x:c r="N43" s="12" t="str">
        <x:v>原文或权威来源未披露时留空</x:v>
      </x:c>
    </x:row>
    <x:row r="44" ht="22" customHeight="1">
      <x:c r="A44" s="12" t="str">
        <x:v>W13IP039</x:v>
      </x:c>
      <x:c r="B44" s="12" t="str">
        <x:v>920438</x:v>
      </x:c>
      <x:c r="C44" s="12" t="str">
        <x:v>戈碧迦</x:v>
      </x:c>
      <x:c r="D44" s="12" t="str">
        <x:v>秭归桐碧迦企业管理咨询中心（有限合伙</x:v>
      </x:c>
      <x:c r="E44" s="12" t="str">
        <x:v>机构投资者待核</x:v>
      </x:c>
      <x:c r="F44" s="12" t="str">
        <x:v>uncertain</x:v>
      </x:c>
      <x:c r="G44" s="12" t="str">
        <x:v>名称具有投资机构特征，但缺少基金属性证据</x:v>
      </x:c>
      <x:c r="H44" s="12" t="str">
        <x:v>43、44</x:v>
      </x:c>
      <x:c r="I44" s="12" t="n">
        <x:v>2</x:v>
      </x:c>
      <x:c r="J44" s="12" t="str">
        <x:v>待人工确认</x:v>
      </x:c>
      <x:c r="K44" s="12" t="str"/>
      <x:c r="L44" s="12" t="str"/>
      <x:c r="M44" s="12" t="str"/>
      <x:c r="N44" s="12" t="str">
        <x:v>原文或权威来源未披露时留空</x:v>
      </x:c>
    </x:row>
    <x:row r="45" ht="22" customHeight="1">
      <x:c r="A45" s="12" t="str">
        <x:v>W13IP040</x:v>
      </x:c>
      <x:c r="B45" s="12" t="str">
        <x:v>920522</x:v>
      </x:c>
      <x:c r="C45" s="12" t="str">
        <x:v>纳科诺尔</x:v>
      </x:c>
      <x:c r="D45" s="12" t="str">
        <x:v>京津冀产业协同发展投资基金</x:v>
      </x:c>
      <x:c r="E45" s="12" t="str">
        <x:v>PE</x:v>
      </x:c>
      <x:c r="F45" s="12" t="str">
        <x:v>yes</x:v>
      </x:c>
      <x:c r="G45" s="12" t="str">
        <x:v>名称或上下文明确出现股权投资基金、私募或投资基金</x:v>
      </x:c>
      <x:c r="H45" s="12" t="str">
        <x:v>34、39</x:v>
      </x:c>
      <x:c r="I45" s="12" t="n">
        <x:v>2</x:v>
      </x:c>
      <x:c r="J45" s="12" t="str">
        <x:v>待人工确认</x:v>
      </x:c>
      <x:c r="K45" s="12" t="str"/>
      <x:c r="L45" s="12" t="str"/>
      <x:c r="M45" s="12" t="str"/>
      <x:c r="N45" s="12" t="str">
        <x:v>原文或权威来源未披露时留空</x:v>
      </x:c>
    </x:row>
    <x:row r="46" ht="22" customHeight="1">
      <x:c r="A46" s="12" t="str">
        <x:v>W13IP041</x:v>
      </x:c>
      <x:c r="B46" s="12" t="str">
        <x:v>920522</x:v>
      </x:c>
      <x:c r="C46" s="12" t="str">
        <x:v>纳科诺尔</x:v>
      </x:c>
      <x:c r="D46" s="12" t="str">
        <x:v>北京水木华研投资管理</x:v>
      </x:c>
      <x:c r="E46" s="12" t="str">
        <x:v>机构投资者待核</x:v>
      </x:c>
      <x:c r="F46" s="12" t="str">
        <x:v>uncertain</x:v>
      </x:c>
      <x:c r="G46" s="12" t="str">
        <x:v>名称具有投资机构特征，但缺少基金属性证据</x:v>
      </x:c>
      <x:c r="H46" s="12" t="str">
        <x:v>36</x:v>
      </x:c>
      <x:c r="I46" s="12" t="n">
        <x:v>1</x:v>
      </x:c>
      <x:c r="J46" s="12" t="str">
        <x:v>待人工确认</x:v>
      </x:c>
      <x:c r="K46" s="12" t="str"/>
      <x:c r="L46" s="12" t="str"/>
      <x:c r="M46" s="12" t="str"/>
      <x:c r="N46" s="12" t="str">
        <x:v>原文或权威来源未披露时留空</x:v>
      </x:c>
    </x:row>
    <x:row r="47" ht="22" customHeight="1">
      <x:c r="A47" s="12" t="str">
        <x:v>W13IP042</x:v>
      </x:c>
      <x:c r="B47" s="12" t="str">
        <x:v>920522</x:v>
      </x:c>
      <x:c r="C47" s="12" t="str">
        <x:v>纳科诺尔</x:v>
      </x:c>
      <x:c r="D47" s="12" t="str">
        <x:v>国投招商投资管理</x:v>
      </x:c>
      <x:c r="E47" s="12" t="str">
        <x:v>机构投资者待核</x:v>
      </x:c>
      <x:c r="F47" s="12" t="str">
        <x:v>uncertain</x:v>
      </x:c>
      <x:c r="G47" s="12" t="str">
        <x:v>名称具有投资机构特征，但缺少基金属性证据</x:v>
      </x:c>
      <x:c r="H47" s="12" t="str">
        <x:v>35、36</x:v>
      </x:c>
      <x:c r="I47" s="12" t="n">
        <x:v>2</x:v>
      </x:c>
      <x:c r="J47" s="12" t="str">
        <x:v>待人工确认</x:v>
      </x:c>
      <x:c r="K47" s="12" t="str"/>
      <x:c r="L47" s="12" t="str"/>
      <x:c r="M47" s="12" t="str"/>
      <x:c r="N47" s="12" t="str">
        <x:v>原文或权威来源未披露时留空</x:v>
      </x:c>
    </x:row>
    <x:row r="48" ht="22" customHeight="1">
      <x:c r="A48" s="12" t="str">
        <x:v>W13IP043</x:v>
      </x:c>
      <x:c r="B48" s="12" t="str">
        <x:v>920522</x:v>
      </x:c>
      <x:c r="C48" s="12" t="str">
        <x:v>纳科诺尔</x:v>
      </x:c>
      <x:c r="D48" s="12" t="str">
        <x:v>广州产融协同投资发展合伙企业（有限合伙</x:v>
      </x:c>
      <x:c r="E48" s="12" t="str">
        <x:v>机构投资者待核</x:v>
      </x:c>
      <x:c r="F48" s="12" t="str">
        <x:v>uncertain</x:v>
      </x:c>
      <x:c r="G48" s="12" t="str">
        <x:v>名称具有投资机构特征，但缺少基金属性证据</x:v>
      </x:c>
      <x:c r="H48" s="12" t="str">
        <x:v>37</x:v>
      </x:c>
      <x:c r="I48" s="12" t="n">
        <x:v>1</x:v>
      </x:c>
      <x:c r="J48" s="12" t="str">
        <x:v>待人工确认</x:v>
      </x:c>
      <x:c r="K48" s="12" t="str"/>
      <x:c r="L48" s="12" t="str"/>
      <x:c r="M48" s="12" t="str"/>
      <x:c r="N48" s="12" t="str">
        <x:v>原文或权威来源未披露时留空</x:v>
      </x:c>
    </x:row>
    <x:row r="49" ht="22" customHeight="1">
      <x:c r="A49" s="12" t="str">
        <x:v>W13IP044</x:v>
      </x:c>
      <x:c r="B49" s="12" t="str">
        <x:v>920522</x:v>
      </x:c>
      <x:c r="C49" s="12" t="str">
        <x:v>纳科诺尔</x:v>
      </x:c>
      <x:c r="D49" s="12" t="str">
        <x:v>广州硕昊投资合伙企业（有限合伙</x:v>
      </x:c>
      <x:c r="E49" s="12" t="str">
        <x:v>机构投资者待核</x:v>
      </x:c>
      <x:c r="F49" s="12" t="str">
        <x:v>uncertain</x:v>
      </x:c>
      <x:c r="G49" s="12" t="str">
        <x:v>名称具有投资机构特征，但缺少基金属性证据</x:v>
      </x:c>
      <x:c r="H49" s="12" t="str">
        <x:v>37</x:v>
      </x:c>
      <x:c r="I49" s="12" t="n">
        <x:v>1</x:v>
      </x:c>
      <x:c r="J49" s="12" t="str">
        <x:v>待人工确认</x:v>
      </x:c>
      <x:c r="K49" s="12" t="str"/>
      <x:c r="L49" s="12" t="str"/>
      <x:c r="M49" s="12" t="str"/>
      <x:c r="N49" s="12" t="str">
        <x:v>原文或权威来源未披露时留空</x:v>
      </x:c>
    </x:row>
    <x:row r="50" ht="22" customHeight="1">
      <x:c r="A50" s="12" t="str">
        <x:v>W13IP045</x:v>
      </x:c>
      <x:c r="B50" s="12" t="str">
        <x:v>920575</x:v>
      </x:c>
      <x:c r="C50" s="12" t="str">
        <x:v>*ST康乐</x:v>
      </x:c>
      <x:c r="D50" s="12" t="str">
        <x:v>北京江林威华生物技术合伙企业（有限合伙</x:v>
      </x:c>
      <x:c r="E50" s="12" t="str">
        <x:v>机构投资者待核</x:v>
      </x:c>
      <x:c r="F50" s="12" t="str">
        <x:v>uncertain</x:v>
      </x:c>
      <x:c r="G50" s="12" t="str">
        <x:v>名称具有投资机构特征，但缺少基金属性证据</x:v>
      </x:c>
      <x:c r="H50" s="12" t="str">
        <x:v>117</x:v>
      </x:c>
      <x:c r="I50" s="12" t="n">
        <x:v>1</x:v>
      </x:c>
      <x:c r="J50" s="12" t="str">
        <x:v>待人工确认</x:v>
      </x:c>
      <x:c r="K50" s="12" t="str"/>
      <x:c r="L50" s="12" t="str"/>
      <x:c r="M50" s="12" t="str"/>
      <x:c r="N50" s="12" t="str">
        <x:v>原文或权威来源未披露时留空</x:v>
      </x:c>
    </x:row>
    <x:row r="51" ht="22" customHeight="1">
      <x:c r="A51" s="12" t="str">
        <x:v>W13IP046</x:v>
      </x:c>
      <x:c r="B51" s="12" t="str">
        <x:v>920575</x:v>
      </x:c>
      <x:c r="C51" s="12" t="str">
        <x:v>*ST康乐</x:v>
      </x:c>
      <x:c r="D51" s="12" t="str">
        <x:v>深创投</x:v>
      </x:c>
      <x:c r="E51" s="12" t="str">
        <x:v>VC</x:v>
      </x:c>
      <x:c r="F51" s="12" t="str">
        <x:v>yes</x:v>
      </x:c>
      <x:c r="G51" s="12" t="str">
        <x:v>名称或上下文明确出现创业投资/创投</x:v>
      </x:c>
      <x:c r="H51" s="12" t="str">
        <x:v>93、95</x:v>
      </x:c>
      <x:c r="I51" s="12" t="n">
        <x:v>3</x:v>
      </x:c>
      <x:c r="J51" s="12" t="str">
        <x:v>待人工确认</x:v>
      </x:c>
      <x:c r="K51" s="12" t="str"/>
      <x:c r="L51" s="12" t="str"/>
      <x:c r="M51" s="12" t="str"/>
      <x:c r="N51" s="12" t="str">
        <x:v>原文或权威来源未披露时留空</x:v>
      </x:c>
    </x:row>
    <x:row r="52" ht="22" customHeight="1">
      <x:c r="A52" s="12" t="str">
        <x:v>W13IP047</x:v>
      </x:c>
      <x:c r="B52" s="12" t="str">
        <x:v>920719</x:v>
      </x:c>
      <x:c r="C52" s="12" t="str">
        <x:v>宁新新材</x:v>
      </x:c>
      <x:c r="D52" s="12" t="str">
        <x:v>北京华清坤德投资管理</x:v>
      </x:c>
      <x:c r="E52" s="12" t="str">
        <x:v>机构投资者待核</x:v>
      </x:c>
      <x:c r="F52" s="12" t="str">
        <x:v>uncertain</x:v>
      </x:c>
      <x:c r="G52" s="12" t="str">
        <x:v>名称具有投资机构特征，但缺少基金属性证据</x:v>
      </x:c>
      <x:c r="H52" s="12" t="str">
        <x:v>41</x:v>
      </x:c>
      <x:c r="I52" s="12" t="n">
        <x:v>1</x:v>
      </x:c>
      <x:c r="J52" s="12" t="str">
        <x:v>待人工确认</x:v>
      </x:c>
      <x:c r="K52" s="12" t="str"/>
      <x:c r="L52" s="12" t="str"/>
      <x:c r="M52" s="12" t="str"/>
      <x:c r="N52" s="12" t="str">
        <x:v>原文或权威来源未披露时留空</x:v>
      </x:c>
    </x:row>
    <x:row r="53" ht="22" customHeight="1">
      <x:c r="A53" s="12" t="str">
        <x:v>W13IP048</x:v>
      </x:c>
      <x:c r="B53" s="12" t="str">
        <x:v>920719</x:v>
      </x:c>
      <x:c r="C53" s="12" t="str">
        <x:v>宁新新材</x:v>
      </x:c>
      <x:c r="D53" s="12" t="str">
        <x:v>北京简道创投</x:v>
      </x:c>
      <x:c r="E53" s="12" t="str">
        <x:v>VC</x:v>
      </x:c>
      <x:c r="F53" s="12" t="str">
        <x:v>yes</x:v>
      </x:c>
      <x:c r="G53" s="12" t="str">
        <x:v>名称或上下文明确出现创业投资/创投</x:v>
      </x:c>
      <x:c r="H53" s="12" t="str">
        <x:v>41</x:v>
      </x:c>
      <x:c r="I53" s="12" t="n">
        <x:v>1</x:v>
      </x:c>
      <x:c r="J53" s="12" t="str">
        <x:v>待人工确认</x:v>
      </x:c>
      <x:c r="K53" s="12" t="str"/>
      <x:c r="L53" s="12" t="str"/>
      <x:c r="M53" s="12" t="str"/>
      <x:c r="N53" s="12" t="str">
        <x:v>原文或权威来源未披露时留空</x:v>
      </x:c>
    </x:row>
    <x:row r="54" ht="22" customHeight="1">
      <x:c r="A54" s="12" t="str">
        <x:v>W13IP049</x:v>
      </x:c>
      <x:c r="B54" s="12" t="str">
        <x:v>920719</x:v>
      </x:c>
      <x:c r="C54" s="12" t="str">
        <x:v>宁新新材</x:v>
      </x:c>
      <x:c r="D54" s="12" t="str">
        <x:v>厦门冠亚肆号投资合伙企业（有限合伙</x:v>
      </x:c>
      <x:c r="E54" s="12" t="str">
        <x:v>机构投资者待核</x:v>
      </x:c>
      <x:c r="F54" s="12" t="str">
        <x:v>uncertain</x:v>
      </x:c>
      <x:c r="G54" s="12" t="str">
        <x:v>名称具有投资机构特征，但缺少基金属性证据</x:v>
      </x:c>
      <x:c r="H54" s="12" t="str">
        <x:v>21</x:v>
      </x:c>
      <x:c r="I54" s="12" t="n">
        <x:v>1</x:v>
      </x:c>
      <x:c r="J54" s="12" t="str">
        <x:v>待人工确认</x:v>
      </x:c>
      <x:c r="K54" s="12" t="str"/>
      <x:c r="L54" s="12" t="str"/>
      <x:c r="M54" s="12" t="str"/>
      <x:c r="N54" s="12" t="str">
        <x:v>原文或权威来源未披露时留空</x:v>
      </x:c>
    </x:row>
    <x:row r="55" ht="22" customHeight="1">
      <x:c r="A55" s="12" t="str">
        <x:v>W13IP050</x:v>
      </x:c>
      <x:c r="B55" s="12" t="str">
        <x:v>920719</x:v>
      </x:c>
      <x:c r="C55" s="12" t="str">
        <x:v>宁新新材</x:v>
      </x:c>
      <x:c r="D55" s="12" t="str">
        <x:v>嘉兴金长川贰号股权投资</x:v>
      </x:c>
      <x:c r="E55" s="12" t="str">
        <x:v>PE</x:v>
      </x:c>
      <x:c r="F55" s="12" t="str">
        <x:v>yes</x:v>
      </x:c>
      <x:c r="G55" s="12" t="str">
        <x:v>名称或上下文明确出现股权投资基金、私募或投资基金</x:v>
      </x:c>
      <x:c r="H55" s="12" t="str">
        <x:v>21</x:v>
      </x:c>
      <x:c r="I55" s="12" t="n">
        <x:v>1</x:v>
      </x:c>
      <x:c r="J55" s="12" t="str">
        <x:v>待人工确认</x:v>
      </x:c>
      <x:c r="K55" s="12" t="str"/>
      <x:c r="L55" s="12" t="str"/>
      <x:c r="M55" s="12" t="str"/>
      <x:c r="N55" s="12" t="str">
        <x:v>原文或权威来源未披露时留空</x:v>
      </x:c>
    </x:row>
    <x:row r="56" ht="22" customHeight="1">
      <x:c r="A56" s="12" t="str">
        <x:v>W13IP051</x:v>
      </x:c>
      <x:c r="B56" s="12" t="str">
        <x:v>920719</x:v>
      </x:c>
      <x:c r="C56" s="12" t="str">
        <x:v>宁新新材</x:v>
      </x:c>
      <x:c r="D56" s="12" t="str">
        <x:v>简道众创投</x:v>
      </x:c>
      <x:c r="E56" s="12" t="str">
        <x:v>VC</x:v>
      </x:c>
      <x:c r="F56" s="12" t="str">
        <x:v>yes</x:v>
      </x:c>
      <x:c r="G56" s="12" t="str">
        <x:v>名称或上下文明确出现创业投资/创投</x:v>
      </x:c>
      <x:c r="H56" s="12" t="str">
        <x:v>59</x:v>
      </x:c>
      <x:c r="I56" s="12" t="n">
        <x:v>1</x:v>
      </x:c>
      <x:c r="J56" s="12" t="str">
        <x:v>待人工确认</x:v>
      </x:c>
      <x:c r="K56" s="12" t="str"/>
      <x:c r="L56" s="12" t="str"/>
      <x:c r="M56" s="12" t="str"/>
      <x:c r="N56" s="12" t="str">
        <x:v>原文或权威来源未披露时留空</x:v>
      </x:c>
    </x:row>
    <x:row r="57" ht="22" customHeight="1">
      <x:c r="A57" s="12" t="str">
        <x:v>W13IP052</x:v>
      </x:c>
      <x:c r="B57" s="12" t="str">
        <x:v>920719</x:v>
      </x:c>
      <x:c r="C57" s="12" t="str">
        <x:v>宁新新材</x:v>
      </x:c>
      <x:c r="D57" s="12" t="str">
        <x:v>霍尔果斯市易道创业投资</x:v>
      </x:c>
      <x:c r="E57" s="12" t="str">
        <x:v>VC</x:v>
      </x:c>
      <x:c r="F57" s="12" t="str">
        <x:v>yes</x:v>
      </x:c>
      <x:c r="G57" s="12" t="str">
        <x:v>名称或上下文明确出现创业投资/创投</x:v>
      </x:c>
      <x:c r="H57" s="12" t="str">
        <x:v>179</x:v>
      </x:c>
      <x:c r="I57" s="12" t="n">
        <x:v>2</x:v>
      </x:c>
      <x:c r="J57" s="12" t="str">
        <x:v>待人工确认</x:v>
      </x:c>
      <x:c r="K57" s="12" t="str"/>
      <x:c r="L57" s="12" t="str"/>
      <x:c r="M57" s="12" t="str"/>
      <x:c r="N57" s="12" t="str">
        <x:v>原文或权威来源未披露时留空</x:v>
      </x:c>
    </x:row>
  </x:sheetData>
  <x:mergeCells>
    <x:mergeCell ref="A2:N2"/>
  </x:mergeCells>
  <x:pageMargins left="0.7" right="0.7" top="0.75" bottom="0.75" header="0.3" footer="0.3"/>
</x:worksheet>
</file>

<file path=xl/worksheets/sheet7.xml><?xml version="1.0" encoding="utf-8"?>
<x:worksheet xmlns:x="http://schemas.openxmlformats.org/spreadsheetml/2006/main">
  <x:sheetPr>
    <x:tabColor rgb="FF9FBAD0"/>
  </x:sheetPr>
  <x:sheetViews>
    <x:sheetView showGridLines="0" workbookViewId="0">
      <x:pane xSplit="3" ySplit="5" topLeftCell="D6"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48" hidden="0" customWidth="1"/>
    <x:col min="10" max="10" width="20" hidden="0" customWidth="1"/>
    <x:col min="11" max="11" width="28" hidden="0" customWidth="1"/>
    <x:col min="12" max="12" width="18" hidden="0" customWidth="1"/>
    <x:col min="13" max="13" width="18" hidden="0" customWidth="1"/>
    <x:col min="14" max="14" width="78" hidden="0" customWidth="1"/>
  </x:cols>
  <x:sheetData>
    <x:row r="1">
      <x:c r="I1" s="32"/>
      <x:c r="K1" s="32"/>
      <x:c r="N1" s="32"/>
    </x:row>
    <x:row r="2">
      <x:c r="A2" s="26" t="str">
        <x:v>人工复核抽样队列</x:v>
      </x:c>
    </x:row>
    <x:row r="3">
      <x:c r="A3" s="3"/>
      <x:c r="B3" s="3"/>
      <x:c r="C3" s="3"/>
      <x:c r="D3" s="3"/>
      <x:c r="E3" s="3"/>
      <x:c r="F3" s="3"/>
      <x:c r="G3" s="3"/>
      <x:c r="H3" s="3"/>
      <x:c r="I3" s="3"/>
      <x:c r="J3" s="3"/>
      <x:c r="K3" s="3"/>
      <x:c r="L3" s="3"/>
      <x:c r="M3" s="3"/>
      <x:c r="N3" s="3"/>
    </x:row>
    <x:row r="5">
      <x:c r="A5" s="30" t="str">
        <x:v>复核ID</x:v>
      </x:c>
      <x:c r="B5" s="30" t="str">
        <x:v>优先级</x:v>
      </x:c>
      <x:c r="C5" s="30" t="str">
        <x:v>候选ID</x:v>
      </x:c>
      <x:c r="D5" s="30" t="str">
        <x:v>股票代码</x:v>
      </x:c>
      <x:c r="E5" s="30" t="str">
        <x:v>公司简称</x:v>
      </x:c>
      <x:c r="F5" s="30" t="str">
        <x:v>事件类型</x:v>
      </x:c>
      <x:c r="G5" s="30" t="str">
        <x:v>页码</x:v>
      </x:c>
      <x:c r="H5" s="30" t="str">
        <x:v>置信度</x:v>
      </x:c>
      <x:c r="I5" s="30" t="str">
        <x:v>复核原因</x:v>
      </x:c>
      <x:c r="J5" s="30" t="str">
        <x:v>人工结论</x:v>
      </x:c>
      <x:c r="K5" s="30" t="str">
        <x:v>修正值</x:v>
      </x:c>
      <x:c r="L5" s="30" t="str">
        <x:v>复核人</x:v>
      </x:c>
      <x:c r="M5" s="30" t="str">
        <x:v>复核日期</x:v>
      </x:c>
      <x:c r="N5" s="30" t="str">
        <x:v>证据预览</x:v>
      </x:c>
    </x:row>
    <x:row r="6" ht="42" customHeight="1">
      <x:c r="A6" s="11" t="str">
        <x:v>W13R001</x:v>
      </x:c>
      <x:c r="B6" s="11" t="str">
        <x:v>P1</x:v>
      </x:c>
      <x:c r="C6" s="11" t="str">
        <x:v>W13-920008-005</x:v>
      </x:c>
      <x:c r="D6" s="11" t="str">
        <x:v>920008</x:v>
      </x:c>
      <x:c r="E6" s="11" t="str">
        <x:v>成电光信</x:v>
      </x:c>
      <x:c r="F6" s="11" t="str">
        <x:v>股权转让</x:v>
      </x:c>
      <x:c r="G6" s="11" t="n">
        <x:v>39</x:v>
      </x:c>
      <x:c r="H6" s="11" t="str">
        <x:v>低</x:v>
      </x:c>
      <x:c r="I6" s="11" t="str">
        <x:v>核对是否为真实股权转让，排除全国股转系统语境</x:v>
      </x:c>
      <x:c r="J6" s="11" t="str"/>
      <x:c r="K6" s="11" t="str"/>
      <x:c r="L6" s="11" t="str"/>
      <x:c r="M6" s="11" t="str"/>
      <x:c r="N6" s="11" t="str">
        <x:v>1-1-38 电光信有限股权代持解除。 2、挂牌期间的股份代持及清理 公司股票在全国股份转让系统挂牌期间，由于部分被代持人不具备新三板开户资格及出于交易 便利性等原因考虑，被代持人范勤、冯军、黄本川、李莉、刘兴利、瓢莉蓉、乔玉萍、饶茜、王满 霞委托代持人在二级市场购买公司股份。上述股份代持的形成及清理过程如下： 代持人 被代持人 代持形成 时间 代持股...</x:v>
      </x:c>
    </x:row>
    <x:row r="7" ht="42" customHeight="1">
      <x:c r="A7" s="12" t="str">
        <x:v>W13R002</x:v>
      </x:c>
      <x:c r="B7" s="12" t="str">
        <x:v>P1</x:v>
      </x:c>
      <x:c r="C7" s="12" t="str">
        <x:v>W13-920008-006</x:v>
      </x:c>
      <x:c r="D7" s="12" t="str">
        <x:v>920008</x:v>
      </x:c>
      <x:c r="E7" s="12" t="str">
        <x:v>成电光信</x:v>
      </x:c>
      <x:c r="F7" s="12" t="str">
        <x:v>股权转让</x:v>
      </x:c>
      <x:c r="G7" s="12" t="n">
        <x:v>53</x:v>
      </x:c>
      <x:c r="H7" s="12" t="str">
        <x:v>低</x:v>
      </x:c>
      <x:c r="I7" s="12" t="str">
        <x:v>核对是否为真实股权转让，排除全国股转系统语境</x:v>
      </x:c>
      <x:c r="J7" s="12" t="str"/>
      <x:c r="K7" s="12" t="str"/>
      <x:c r="L7" s="12" t="str"/>
      <x:c r="M7" s="12" t="str"/>
      <x:c r="N7" s="12" t="str">
        <x:v>持有的发行人全部股份在锁定期满后 24 个月内减持的，减持价格不低于 发行价（如果因派发现金红利、送股、转增股本、增发新股等原因进行除权、除息的，减持底价作 相应调整） 。 六、本人于本次向不特定合格投资者公开发行股票前所持有的公司股票，在股票锁定期满后， 将通过包括但不限于二级市场集中竞价交易、大宗交易方式、协议转让等北京证券交易所认可的合 法方式按...</x:v>
      </x:c>
    </x:row>
    <x:row r="8" ht="42" customHeight="1">
      <x:c r="A8" s="12" t="str">
        <x:v>W13R003</x:v>
      </x:c>
      <x:c r="B8" s="12" t="str">
        <x:v>P1</x:v>
      </x:c>
      <x:c r="C8" s="12" t="str">
        <x:v>W13-920008-007</x:v>
      </x:c>
      <x:c r="D8" s="12" t="str">
        <x:v>920008</x:v>
      </x:c>
      <x:c r="E8" s="12" t="str">
        <x:v>成电光信</x:v>
      </x:c>
      <x:c r="F8" s="12" t="str">
        <x:v>股权转让</x:v>
      </x:c>
      <x:c r="G8" s="12" t="n">
        <x:v>54</x:v>
      </x:c>
      <x:c r="H8" s="12" t="str">
        <x:v>低</x:v>
      </x:c>
      <x:c r="I8" s="12" t="str">
        <x:v>核对是否为真实股权转让，排除全国股转系统语境</x:v>
      </x:c>
      <x:c r="J8" s="12" t="str"/>
      <x:c r="K8" s="12" t="str"/>
      <x:c r="L8" s="12" t="str"/>
      <x:c r="M8" s="12" t="str"/>
      <x:c r="N8" s="12" t="str">
        <x:v>锁定期满后 2 年内减持的，减持价格不低于发行 价（如果因派发现金红利、送股、转增股本、增发新股等原因进行除权、除息的，须按照北京证券 交易所的有关规定作相应价格调整） 。 五、本人于本次向不特定合格投资者公开发行股票前所持有的公司股票，在股票锁定期满后， 将通过包括但不限于二级市场集中竞价交易、大宗交易方式、协议转让等北京证券交易所认可的合 法方式按...</x:v>
      </x:c>
    </x:row>
    <x:row r="9" ht="42" customHeight="1">
      <x:c r="A9" s="12" t="str">
        <x:v>W13R004</x:v>
      </x:c>
      <x:c r="B9" s="12" t="str">
        <x:v>P1</x:v>
      </x:c>
      <x:c r="C9" s="12" t="str">
        <x:v>W13-920008-008</x:v>
      </x:c>
      <x:c r="D9" s="12" t="str">
        <x:v>920008</x:v>
      </x:c>
      <x:c r="E9" s="12" t="str">
        <x:v>成电光信</x:v>
      </x:c>
      <x:c r="F9" s="12" t="str">
        <x:v>股权转让</x:v>
      </x:c>
      <x:c r="G9" s="12" t="n">
        <x:v>55</x:v>
      </x:c>
      <x:c r="H9" s="12" t="str">
        <x:v>低</x:v>
      </x:c>
      <x:c r="I9" s="12" t="str">
        <x:v>核对是否为真实股权转让，排除全国股转系统语境</x:v>
      </x:c>
      <x:c r="J9" s="12" t="str"/>
      <x:c r="K9" s="12" t="str"/>
      <x:c r="L9" s="12" t="str"/>
      <x:c r="M9" s="12" t="str"/>
      <x:c r="N9" s="12" t="str">
        <x:v>满后，如本人担任发行人董事、监事或高级管理人员职务，则在任职期间每 年转让的股份不超过本人持有的发行人股份总数的 25%；离职后 6 个月内，不转让本人持有的发行 人股份。 三、本人于本次向不特定合格投资者公开发行股票前所持有的公司股票，在股票锁定期满后， 将通过包括但不限于二级市场集中竞价交易、大宗交易方式、协议转让等北京证券交易所认可的合 法方式按...</x:v>
      </x:c>
    </x:row>
    <x:row r="10" ht="42" customHeight="1">
      <x:c r="A10" s="12" t="str">
        <x:v>W13R005</x:v>
      </x:c>
      <x:c r="B10" s="12" t="str">
        <x:v>P1</x:v>
      </x:c>
      <x:c r="C10" s="12" t="str">
        <x:v>W13-920016-015</x:v>
      </x:c>
      <x:c r="D10" s="12" t="str">
        <x:v>920016</x:v>
      </x:c>
      <x:c r="E10" s="12" t="str">
        <x:v>中草香料</x:v>
      </x:c>
      <x:c r="F10" s="12" t="str">
        <x:v>股权转让</x:v>
      </x:c>
      <x:c r="G10" s="12" t="n">
        <x:v>41</x:v>
      </x:c>
      <x:c r="H10" s="12" t="str">
        <x:v>低</x:v>
      </x:c>
      <x:c r="I10" s="12" t="str">
        <x:v>核对是否为真实股权转让，排除全国股转系统语境</x:v>
      </x:c>
      <x:c r="J10" s="12" t="str"/>
      <x:c r="K10" s="12" t="str"/>
      <x:c r="L10" s="12" t="str"/>
      <x:c r="M10" s="12" t="str"/>
      <x:c r="N10" s="12" t="str">
        <x:v>II）公司实际控制人发生转移。 （Ⅳ） 公司、 公司原股东或公司管理层出现重大诚信问题， 如： 公司出现投资方不知情 的财产转移、高管同业兼职、未经审批的重大关联交易等。 3.1.2 在达到回购的条件后，甲方有权要求乙方在收到“股权回购”的书面通知当日起 120 日内付清全部回购款项，配合相关的股权转让事宜并及时以现金形式支付股权回购款 项，按如下方式...</x:v>
      </x:c>
    </x:row>
    <x:row r="11" ht="42" customHeight="1">
      <x:c r="A11" s="12" t="str">
        <x:v>W13R006</x:v>
      </x:c>
      <x:c r="B11" s="12" t="str">
        <x:v>P1</x:v>
      </x:c>
      <x:c r="C11" s="12" t="str">
        <x:v>W13-920099-008</x:v>
      </x:c>
      <x:c r="D11" s="12" t="str">
        <x:v>920099</x:v>
      </x:c>
      <x:c r="E11" s="12" t="str">
        <x:v>瑞华技术</x:v>
      </x:c>
      <x:c r="F11" s="12" t="str">
        <x:v>股权转让</x:v>
      </x:c>
      <x:c r="G11" s="12" t="n">
        <x:v>63</x:v>
      </x:c>
      <x:c r="H11" s="12" t="str">
        <x:v>低</x:v>
      </x:c>
      <x:c r="I11" s="12" t="str">
        <x:v>核对是否为真实股权转让，排除全国股转系统语境</x:v>
      </x:c>
      <x:c r="J11" s="12" t="str"/>
      <x:c r="K11" s="12" t="str"/>
      <x:c r="L11" s="12" t="str"/>
      <x:c r="M11" s="12" t="str"/>
      <x:c r="N11" s="12" t="str">
        <x:v>4 个月内若减持公司股票， 本人将严格遵守中国证监会、 证券交易所关于股东减 持的相关规定，每年减持数量不超过本人直接或间接持有公司股票总数的 25%，减持价格不低于发行价（若公司股份在该期间内发生派息、送股、资本 公积转增股本等除权除息事项的，发行价应相应调整） ； 3、 本人将采用集中竞价、 大宗交易、 协议转让等法律、 法规允许的方式转 让公司股...</x:v>
      </x:c>
    </x:row>
    <x:row r="12" ht="42" customHeight="1">
      <x:c r="A12" s="12" t="str">
        <x:v>W13R007</x:v>
      </x:c>
      <x:c r="B12" s="12" t="str">
        <x:v>P1</x:v>
      </x:c>
      <x:c r="C12" s="12" t="str">
        <x:v>W13-920099-010</x:v>
      </x:c>
      <x:c r="D12" s="12" t="str">
        <x:v>920099</x:v>
      </x:c>
      <x:c r="E12" s="12" t="str">
        <x:v>瑞华技术</x:v>
      </x:c>
      <x:c r="F12" s="12" t="str">
        <x:v>股权转让</x:v>
      </x:c>
      <x:c r="G12" s="12" t="n">
        <x:v>72</x:v>
      </x:c>
      <x:c r="H12" s="12" t="str">
        <x:v>低</x:v>
      </x:c>
      <x:c r="I12" s="12" t="str">
        <x:v>核对是否为真实股权转让，排除全国股转系统语境</x:v>
      </x:c>
      <x:c r="J12" s="12" t="str"/>
      <x:c r="K12" s="12" t="str"/>
      <x:c r="L12" s="12" t="str"/>
      <x:c r="M12" s="12" t="str"/>
      <x:c r="N12" s="12" t="str">
        <x:v>1-1-71 能构成竞争的业务； （2）将相竞争的业务纳入到发行人来经营； （3）将相竞争 的业务转让给无关联的第三方； 4、本人如从任何第三方获得的商业机会与发行人及其子公司经营的业务 有竞争或可能竞争， 本人将立即通知发行人， 并将该商业机会让予发行人或其 子公司； 5、 本人承诺不利用任何方式从事影响或可能影响发行人及其子公司经营、 发展的业务或...</x:v>
      </x:c>
    </x:row>
    <x:row r="13" ht="42" customHeight="1">
      <x:c r="A13" s="12" t="str">
        <x:v>W13R008</x:v>
      </x:c>
      <x:c r="B13" s="12" t="str">
        <x:v>P1</x:v>
      </x:c>
      <x:c r="C13" s="12" t="str">
        <x:v>W13-920118-011</x:v>
      </x:c>
      <x:c r="D13" s="12" t="str">
        <x:v>920118</x:v>
      </x:c>
      <x:c r="E13" s="12" t="str">
        <x:v>太湖远大</x:v>
      </x:c>
      <x:c r="F13" s="12" t="str">
        <x:v>股权转让</x:v>
      </x:c>
      <x:c r="G13" s="12" t="n">
        <x:v>59</x:v>
      </x:c>
      <x:c r="H13" s="12" t="str">
        <x:v>低</x:v>
      </x:c>
      <x:c r="I13" s="12" t="str">
        <x:v>核对是否为真实股权转让，排除全国股转系统语境</x:v>
      </x:c>
      <x:c r="J13" s="12" t="str"/>
      <x:c r="K13" s="12" t="str"/>
      <x:c r="L13" s="12" t="str"/>
      <x:c r="M13" s="12" t="str"/>
      <x:c r="N13" s="12" t="str">
        <x:v>际控制人承诺如下： “1、 在本人所持发行人股份的锁定期届满后， 如本人计划减持， 本人将严格遵守 《中华人民 共和国公司法》《中华人民共和国证券法》《北京证券交易所股票上市规则（试行）》等规范性 文件中关于股份减持的规定，具体方式如下： （1） 减持方式： 包括但不限于二级市场竞价交易方式、 大宗交易方式、 协议转让等监管机构 认可的方式； （2） ...</x:v>
      </x:c>
    </x:row>
    <x:row r="14" ht="42" customHeight="1">
      <x:c r="A14" s="12" t="str">
        <x:v>W13R009</x:v>
      </x:c>
      <x:c r="B14" s="12" t="str">
        <x:v>P1</x:v>
      </x:c>
      <x:c r="C14" s="12" t="str">
        <x:v>W13-920118-012</x:v>
      </x:c>
      <x:c r="D14" s="12" t="str">
        <x:v>920118</x:v>
      </x:c>
      <x:c r="E14" s="12" t="str">
        <x:v>太湖远大</x:v>
      </x:c>
      <x:c r="F14" s="12" t="str">
        <x:v>股权转让</x:v>
      </x:c>
      <x:c r="G14" s="12" t="n">
        <x:v>60</x:v>
      </x:c>
      <x:c r="H14" s="12" t="str">
        <x:v>低</x:v>
      </x:c>
      <x:c r="I14" s="12" t="str">
        <x:v>核对是否为真实股权转让，排除全国股转系统语境</x:v>
      </x:c>
      <x:c r="J14" s="12" t="str"/>
      <x:c r="K14" s="12" t="str"/>
      <x:c r="L14" s="12" t="str"/>
      <x:c r="M14" s="12" t="str"/>
      <x:c r="N14" s="12" t="str">
        <x:v>司股东俞华杰、于丽敏承诺如下： “1、 在公司本次发行并上市后， 如本人计划减持， 本人将严格遵守 《中华人民共和国公司法》 《中华人民共和国证券法》《北京证券交易所股票上市规则（试行）》等规范性文件中关于股份 减持的规定，具体方式如下： （1） 减持方式： 包括但不限于二级市场竞价交易方式、 大宗交易方式、 协议转让等监管机构 认可的方式； （2） ...</x:v>
      </x:c>
    </x:row>
    <x:row r="15" ht="42" customHeight="1">
      <x:c r="A15" s="12" t="str">
        <x:v>W13R010</x:v>
      </x:c>
      <x:c r="B15" s="12" t="str">
        <x:v>P1</x:v>
      </x:c>
      <x:c r="C15" s="12" t="str">
        <x:v>W13-920118-013</x:v>
      </x:c>
      <x:c r="D15" s="12" t="str">
        <x:v>920118</x:v>
      </x:c>
      <x:c r="E15" s="12" t="str">
        <x:v>太湖远大</x:v>
      </x:c>
      <x:c r="F15" s="12" t="str">
        <x:v>股权转让</x:v>
      </x:c>
      <x:c r="G15" s="12" t="n">
        <x:v>61</x:v>
      </x:c>
      <x:c r="H15" s="12" t="str">
        <x:v>低</x:v>
      </x:c>
      <x:c r="I15" s="12" t="str">
        <x:v>核对是否为真实股权转让，排除全国股转系统语境</x:v>
      </x:c>
      <x:c r="J15" s="12" t="str"/>
      <x:c r="K15" s="12" t="str"/>
      <x:c r="L15" s="12" t="str"/>
      <x:c r="M15" s="12" t="str"/>
      <x:c r="N15" s="12" t="str">
        <x:v>创投资、成贤投资承诺如下： “1、 在公司本次发行并上市后， 如本企业计划减持， 本企业将严格遵守 《中华人民共和国公 司法》《中华人民共和国证券法》《北京证券交易所股票上市规则（试行）》等规范性文件中关 于股份减持的规定，具体方式如下： （1） 减持方式： 包括但不限于二级市场竞价交易方式、 大宗交易方式、 协议转让等监管机构 认可的方式； （2） ...</x:v>
      </x:c>
    </x:row>
    <x:row r="16" ht="42" customHeight="1">
      <x:c r="A16" s="12" t="str">
        <x:v>W13R011</x:v>
      </x:c>
      <x:c r="B16" s="12" t="str">
        <x:v>P1</x:v>
      </x:c>
      <x:c r="C16" s="12" t="str">
        <x:v>W13-920249-025</x:v>
      </x:c>
      <x:c r="D16" s="12" t="str">
        <x:v>920249</x:v>
      </x:c>
      <x:c r="E16" s="12" t="str">
        <x:v>利尔达</x:v>
      </x:c>
      <x:c r="F16" s="12" t="str">
        <x:v>基金备案</x:v>
      </x:c>
      <x:c r="G16" s="12" t="n">
        <x:v>39</x:v>
      </x:c>
      <x:c r="H16" s="12" t="str">
        <x:v>低</x:v>
      </x:c>
      <x:c r="I16" s="12" t="str">
        <x:v>核对备案编码、管理人/GP及是否直接披露</x:v>
      </x:c>
      <x:c r="J16" s="12" t="str"/>
      <x:c r="K16" s="12" t="str"/>
      <x:c r="L16" s="12" t="str"/>
      <x:c r="M16" s="12" t="str"/>
      <x:c r="N16" s="12" t="str">
        <x:v>、 募集资金运用 根据公司第三届董事会第十七次会议、第四届董事会第五次会议、第四届董 事会第七次会议和 2021 年第三次临时股东大会、2022 年第三次临时股东大会会 议决议，本次募集资金扣除发行费用后的净额拟全部用于如下用途。 单位：万元 序 号 项目名称 项目总投入 拟投入募集资金 项目备案号 1 先芯三期物联网模 块扩产项目 12,000.00...</x:v>
      </x:c>
    </x:row>
    <x:row r="17" ht="42" customHeight="1">
      <x:c r="A17" s="12" t="str">
        <x:v>W13R012</x:v>
      </x:c>
      <x:c r="B17" s="12" t="str">
        <x:v>P1</x:v>
      </x:c>
      <x:c r="C17" s="12" t="str">
        <x:v>W13-920304-013</x:v>
      </x:c>
      <x:c r="D17" s="12" t="str">
        <x:v>920304</x:v>
      </x:c>
      <x:c r="E17" s="12" t="str">
        <x:v>迪尔化工</x:v>
      </x:c>
      <x:c r="F17" s="12" t="str">
        <x:v>股权转让</x:v>
      </x:c>
      <x:c r="G17" s="12" t="n">
        <x:v>49</x:v>
      </x:c>
      <x:c r="H17" s="12" t="str">
        <x:v>低</x:v>
      </x:c>
      <x:c r="I17" s="12" t="str">
        <x:v>核对是否为真实股权转让，排除全国股转系统语境</x:v>
      </x:c>
      <x:c r="J17" s="12" t="str"/>
      <x:c r="K17" s="12" t="str"/>
      <x:c r="L17" s="12" t="str"/>
      <x:c r="M17" s="12" t="str"/>
      <x:c r="N17" s="12" t="str">
        <x:v>人员增持公司股份后，公司股票仍触及稳定股 价预案启动的条件，公司以法律法规允许的交易方式向不 特定合格投资者回购股份（以下简称 “公司回购股份”）满 足启动股价稳定措施条件后，公司应在 5 个交易日内召开 董事会，讨论公司向不特定合格投资者回购公司股份的方 案，并提交股东大会审议。在股东大会审议通过股份回购 方案后，公司依法通知债权人，向证券监督管理部...</x:v>
      </x:c>
    </x:row>
    <x:row r="18" ht="42" customHeight="1">
      <x:c r="A18" s="12" t="str">
        <x:v>W13R013</x:v>
      </x:c>
      <x:c r="B18" s="12" t="str">
        <x:v>P1</x:v>
      </x:c>
      <x:c r="C18" s="12" t="str">
        <x:v>W13-920304-015</x:v>
      </x:c>
      <x:c r="D18" s="12" t="str">
        <x:v>920304</x:v>
      </x:c>
      <x:c r="E18" s="12" t="str">
        <x:v>迪尔化工</x:v>
      </x:c>
      <x:c r="F18" s="12" t="str">
        <x:v>股权转让</x:v>
      </x:c>
      <x:c r="G18" s="12" t="n">
        <x:v>51</x:v>
      </x:c>
      <x:c r="H18" s="12" t="str">
        <x:v>低</x:v>
      </x:c>
      <x:c r="I18" s="12" t="str">
        <x:v>核对是否为真实股权转让，排除全国股转系统语境</x:v>
      </x:c>
      <x:c r="J18" s="12" t="str"/>
      <x:c r="K18" s="12" t="str"/>
      <x:c r="L18" s="12" t="str"/>
      <x:c r="M18" s="12" t="str"/>
      <x:c r="N18" s="12" t="str">
        <x:v>员增持公司股份后，公司股票仍触及稳定股 价预案启动的条件，公司以法律法规允许的交 易方式向不 特定合格投资者回购股份（以下简称 “公司回购股份”）满 足启动股价稳定措施条件后，公司应在 5 个交易日内召开 董事会，讨论公司向不特定合格投资者回购公司股份的方 案，并提交股东大会审议。在股东大会审议通过股份回购 方案后，公司依法通知债权人，向证券监督管理部...</x:v>
      </x:c>
    </x:row>
    <x:row r="19" ht="42" customHeight="1">
      <x:c r="A19" s="12" t="str">
        <x:v>W13R014</x:v>
      </x:c>
      <x:c r="B19" s="12" t="str">
        <x:v>P1</x:v>
      </x:c>
      <x:c r="C19" s="12" t="str">
        <x:v>W13-920304-016</x:v>
      </x:c>
      <x:c r="D19" s="12" t="str">
        <x:v>920304</x:v>
      </x:c>
      <x:c r="E19" s="12" t="str">
        <x:v>迪尔化工</x:v>
      </x:c>
      <x:c r="F19" s="12" t="str">
        <x:v>股权转让</x:v>
      </x:c>
      <x:c r="G19" s="12" t="n">
        <x:v>52</x:v>
      </x:c>
      <x:c r="H19" s="12" t="str">
        <x:v>低</x:v>
      </x:c>
      <x:c r="I19" s="12" t="str">
        <x:v>核对是否为真实股权转让，排除全国股转系统语境</x:v>
      </x:c>
      <x:c r="J19" s="12" t="str"/>
      <x:c r="K19" s="12" t="str"/>
      <x:c r="L19" s="12" t="str"/>
      <x:c r="M19" s="12" t="str"/>
      <x:c r="N19" s="12" t="str">
        <x:v>者净利润的 50%。如果公司股价已经不满足启动稳定公 司股价措施的条件的，公司可不再实施向不特定合格投资 者回购股份。回购股份后，公司的股权分布应当符合北交 所上市条件。公司以法律法规允许的交易方式向不特定合 格投资者回购公司股份应符合《中华人民共和国公司法》 《中华人民共和国证券法》《全国中小企业股份转让系统 股票交易规则》等法律、法规、规范性文件的...</x:v>
      </x:c>
    </x:row>
    <x:row r="20" ht="42" customHeight="1">
      <x:c r="A20" s="12" t="str">
        <x:v>W13R015</x:v>
      </x:c>
      <x:c r="B20" s="12" t="str">
        <x:v>P1</x:v>
      </x:c>
      <x:c r="C20" s="12" t="str">
        <x:v>W13-920438-002</x:v>
      </x:c>
      <x:c r="D20" s="12" t="str">
        <x:v>920438</x:v>
      </x:c>
      <x:c r="E20" s="12" t="str">
        <x:v>戈碧迦</x:v>
      </x:c>
      <x:c r="F20" s="12" t="str">
        <x:v>股权转让</x:v>
      </x:c>
      <x:c r="G20" s="12" t="n">
        <x:v>73</x:v>
      </x:c>
      <x:c r="H20" s="12" t="str">
        <x:v>低</x:v>
      </x:c>
      <x:c r="I20" s="12" t="str">
        <x:v>核对是否为真实股权转让，排除全国股转系统语境</x:v>
      </x:c>
      <x:c r="J20" s="12" t="str"/>
      <x:c r="K20" s="12" t="str"/>
      <x:c r="L20" s="12" t="str"/>
      <x:c r="M20" s="12" t="str"/>
      <x:c r="N20" s="12" t="str">
        <x:v>市场情况、本人资金需求、投资 安排等各方面因素确定减持计划，择机进行减持。3、本人减持发行人股票将严格遵守 中国证监会《上市公司股东、董监高减持股份的若干规定》 《北京证券交易所股票上市 规则（试行） 》等法律法规和规范性文件及证券交易所规则的规定，具体方式包括但不 限于证券交易所集中竞价交易方式、大宗交易方式、协议转让等监管机构认可的方 式。4、若本...</x:v>
      </x:c>
    </x:row>
    <x:row r="21" ht="42" customHeight="1">
      <x:c r="A21" s="12" t="str">
        <x:v>W13R016</x:v>
      </x:c>
      <x:c r="B21" s="12" t="str">
        <x:v>P1</x:v>
      </x:c>
      <x:c r="C21" s="12" t="str">
        <x:v>W13-920438-003</x:v>
      </x:c>
      <x:c r="D21" s="12" t="str">
        <x:v>920438</x:v>
      </x:c>
      <x:c r="E21" s="12" t="str">
        <x:v>戈碧迦</x:v>
      </x:c>
      <x:c r="F21" s="12" t="str">
        <x:v>股权转让</x:v>
      </x:c>
      <x:c r="G21" s="12" t="n">
        <x:v>74</x:v>
      </x:c>
      <x:c r="H21" s="12" t="str">
        <x:v>低</x:v>
      </x:c>
      <x:c r="I21" s="12" t="str">
        <x:v>核对是否为真实股权转让，排除全国股转系统语境</x:v>
      </x:c>
      <x:c r="J21" s="12" t="str"/>
      <x:c r="K21" s="12" t="str"/>
      <x:c r="L21" s="12" t="str"/>
      <x:c r="M21" s="12" t="str"/>
      <x:c r="N21" s="12" t="str">
        <x:v>运作的需要， 审慎制定股票减持计划，在股票锁定期满后逐步减持。2、本人减持发行人股票将会严 格遵守中国证监会《上市公司股东、董监高减持股份的若干规定》 《北京证券交易所股 票上市规则（试行） 》等法律法规和规范性文件及证券交易所规则的规定。本人减持具 体方式包括但不 限于证券交易所集中竞价交易方式、大宗交易方式、协议转让方式监 管机构认可的方式。3、若...</x:v>
      </x:c>
    </x:row>
    <x:row r="22" ht="42" customHeight="1">
      <x:c r="A22" s="12" t="str">
        <x:v>W13R017</x:v>
      </x:c>
      <x:c r="B22" s="12" t="str">
        <x:v>P1</x:v>
      </x:c>
      <x:c r="C22" s="12" t="str">
        <x:v>W13-920438-004</x:v>
      </x:c>
      <x:c r="D22" s="12" t="str">
        <x:v>920438</x:v>
      </x:c>
      <x:c r="E22" s="12" t="str">
        <x:v>戈碧迦</x:v>
      </x:c>
      <x:c r="F22" s="12" t="str">
        <x:v>股权转让</x:v>
      </x:c>
      <x:c r="G22" s="12" t="n">
        <x:v>75</x:v>
      </x:c>
      <x:c r="H22" s="12" t="str">
        <x:v>低</x:v>
      </x:c>
      <x:c r="I22" s="12" t="str">
        <x:v>核对是否为真实股权转让，排除全国股转系统语境</x:v>
      </x:c>
      <x:c r="J22" s="12" t="str"/>
      <x:c r="K22" s="12" t="str"/>
      <x:c r="L22" s="12" t="str"/>
      <x:c r="M22" s="12" t="str"/>
      <x:c r="N22" s="12" t="str">
        <x:v>作 的需要，审慎制定股票减持计划，在股票锁定期满后逐步减持。2、本企业减持发行人 股票将会严格遵守中国证监会《上市公司股东、董监高减持股份的若干规定》 《北京证 券交易所股票上市规则（试行） 》等法律法规和规范性文件及证券交易所规则的规定。 本企业减持具体方式包括但不限于证券交易所集中竞价交易方式、大宗交易方式、协 议转让方式监管机构认可的方式。3、若...</x:v>
      </x:c>
    </x:row>
    <x:row r="23" ht="42" customHeight="1">
      <x:c r="A23" s="12" t="str">
        <x:v>W13R018</x:v>
      </x:c>
      <x:c r="B23" s="12" t="str">
        <x:v>P1</x:v>
      </x:c>
      <x:c r="C23" s="12" t="str">
        <x:v>W13-920438-009</x:v>
      </x:c>
      <x:c r="D23" s="12" t="str">
        <x:v>920438</x:v>
      </x:c>
      <x:c r="E23" s="12" t="str">
        <x:v>戈碧迦</x:v>
      </x:c>
      <x:c r="F23" s="12" t="str">
        <x:v>股权转让</x:v>
      </x:c>
      <x:c r="G23" s="12" t="n">
        <x:v>87</x:v>
      </x:c>
      <x:c r="H23" s="12" t="str">
        <x:v>低</x:v>
      </x:c>
      <x:c r="I23" s="12" t="str">
        <x:v>核对是否为真实股权转让，排除全国股转系统语境</x:v>
      </x:c>
      <x:c r="J23" s="12" t="str"/>
      <x:c r="K23" s="12" t="str"/>
      <x:c r="L23" s="12" t="str"/>
      <x:c r="M23" s="12" t="str"/>
      <x:c r="N23" s="12" t="str">
        <x:v>份有限公司向不特定合 格投资者公开发行股票并在北京证券交易所上市后三年内稳定股价措施的预案 》的内 容并承担相应的法律责任。 （2）在启动股价稳定措施的前提条件满足时，本公司将按 照经股东大会审议通过的稳定股价的预案回购本公司股票，同时本公司也将遵照《北 京证券交易所上市公司持续监管指引第 4 号—股份回购》等法律法规的条件下回购股 份，不导致本公司股...</x:v>
      </x:c>
    </x:row>
    <x:row r="24" ht="42" customHeight="1">
      <x:c r="A24" s="12" t="str">
        <x:v>W13R019</x:v>
      </x:c>
      <x:c r="B24" s="12" t="str">
        <x:v>P1</x:v>
      </x:c>
      <x:c r="C24" s="12" t="str">
        <x:v>W13-920719-007</x:v>
      </x:c>
      <x:c r="D24" s="12" t="str">
        <x:v>920719</x:v>
      </x:c>
      <x:c r="E24" s="12" t="str">
        <x:v>宁新新材</x:v>
      </x:c>
      <x:c r="F24" s="12" t="str">
        <x:v>股权转让</x:v>
      </x:c>
      <x:c r="G24" s="12" t="n">
        <x:v>56</x:v>
      </x:c>
      <x:c r="H24" s="12" t="str">
        <x:v>低</x:v>
      </x:c>
      <x:c r="I24" s="12" t="str">
        <x:v>核对是否为真实股权转让，排除全国股转系统语境</x:v>
      </x:c>
      <x:c r="J24" s="12" t="str"/>
      <x:c r="K24" s="12" t="str"/>
      <x:c r="L24" s="12" t="str"/>
      <x:c r="M24" s="12" t="str"/>
      <x:c r="N24" s="12" t="str">
        <x:v>时按照各方事先协调所达成的一致意见行使表决权。（4）协 议各方应当确保按照达成一致行动决定行使股东权利，承担股东义务。（5）若各方内 部无法达成一致意见， 各方应按照李海航的意向进行表决， 协议各方应当严格按照该决 定执行；（6）各方承诺，如其将所持有的公司的全部或部分股权对外转让，则该等转 让需以受让方同意承继本协议项下的义务并代替出让方重新签署本协...</x:v>
      </x:c>
    </x:row>
    <x:row r="25" ht="42" customHeight="1">
      <x:c r="A25" s="12" t="str">
        <x:v>W13R020</x:v>
      </x:c>
      <x:c r="B25" s="12" t="str">
        <x:v>P1</x:v>
      </x:c>
      <x:c r="C25" s="12" t="str">
        <x:v>W13-920719-024</x:v>
      </x:c>
      <x:c r="D25" s="12" t="str">
        <x:v>920719</x:v>
      </x:c>
      <x:c r="E25" s="12" t="str">
        <x:v>宁新新材</x:v>
      </x:c>
      <x:c r="F25" s="12" t="str">
        <x:v>基金备案</x:v>
      </x:c>
      <x:c r="G25" s="12" t="n">
        <x:v>156</x:v>
      </x:c>
      <x:c r="H25" s="12" t="str">
        <x:v>低</x:v>
      </x:c>
      <x:c r="I25" s="12" t="str">
        <x:v>核对备案编码、管理人/GP及是否直接披露</x:v>
      </x:c>
      <x:c r="J25" s="12" t="str"/>
      <x:c r="K25" s="12" t="str"/>
      <x:c r="L25" s="12" t="str"/>
      <x:c r="M25" s="12" t="str"/>
      <x:c r="N25" s="12" t="str">
        <x:v>加工用工装 实用 新型 宁和达 2022223373603 2022.09.02 2022.12.06 发行人及其子公司合法拥有上述专利，且不存在产权纠纷或潜在产权纠纷。 （4）域名 截至本招股说明书签署日， 发行人及其子公司依法拥有域名合计共1 项， 具体情况 如下表所示： 序号 ICP 备案号 网站网址 所有权人 专用期限 1 赣 ICP 备 15...</x:v>
      </x:c>
    </x:row>
    <x:row r="26" ht="42" customHeight="1">
      <x:c r="A26" s="12" t="str">
        <x:v>W13R021</x:v>
      </x:c>
      <x:c r="B26" s="12" t="str">
        <x:v>P1</x:v>
      </x:c>
      <x:c r="C26" s="12" t="str">
        <x:v>W13-920719-025</x:v>
      </x:c>
      <x:c r="D26" s="12" t="str">
        <x:v>920719</x:v>
      </x:c>
      <x:c r="E26" s="12" t="str">
        <x:v>宁新新材</x:v>
      </x:c>
      <x:c r="F26" s="12" t="str">
        <x:v>基金备案</x:v>
      </x:c>
      <x:c r="G26" s="12" t="n">
        <x:v>165</x:v>
      </x:c>
      <x:c r="H26" s="12" t="str">
        <x:v>低</x:v>
      </x:c>
      <x:c r="I26" s="12" t="str">
        <x:v>核对备案编码、管理人/GP及是否直接披露</x:v>
      </x:c>
      <x:c r="J26" s="12" t="str"/>
      <x:c r="K26" s="12" t="str"/>
      <x:c r="L26" s="12" t="str"/>
      <x:c r="M26" s="12" t="str"/>
      <x:c r="N26" s="12" t="str">
        <x:v>23-2025.01.22 6 《报关单位注册登记证书》 （海关 注册编码：36089609ER） 发行人 宜春海关 2018.12.13 至长期 7 《对外贸易经营者备案登记表》 （编号：02406681） 发行人 - 2018.12.12 至长期 8 《出入境检验检疫报检企业备案 表》 （备案号:3605601727） 发行人 江西出入境检验检 疫...</x:v>
      </x:c>
    </x:row>
    <x:row r="27" ht="42" customHeight="1">
      <x:c r="A27" s="12" t="str">
        <x:v>W13R022</x:v>
      </x:c>
      <x:c r="B27" s="12" t="str">
        <x:v>P1</x:v>
      </x:c>
      <x:c r="C27" s="12" t="str">
        <x:v>W13-920950-010</x:v>
      </x:c>
      <x:c r="D27" s="12" t="str">
        <x:v>920950</x:v>
      </x:c>
      <x:c r="E27" s="12" t="str">
        <x:v>迅安科技</x:v>
      </x:c>
      <x:c r="F27" s="12" t="str">
        <x:v>股权转让</x:v>
      </x:c>
      <x:c r="G27" s="12" t="n">
        <x:v>62</x:v>
      </x:c>
      <x:c r="H27" s="12" t="str">
        <x:v>低</x:v>
      </x:c>
      <x:c r="I27" s="12" t="str">
        <x:v>核对是否为真实股权转让，排除全国股转系统语境</x:v>
      </x:c>
      <x:c r="J27" s="12" t="str"/>
      <x:c r="K27" s="12" t="str"/>
      <x:c r="L27" s="12" t="str"/>
      <x:c r="M27" s="12" t="str"/>
      <x:c r="N27" s="12" t="str">
        <x:v>价措施的启动程序 （一）公司回购股票 1）公司董事会应在回购股份启动条件触发之日起的 10 个交易日内，作出 公司回购股份的决议； 2）公司董事会应在作出公司回购股份之决议后的 2 个交易日内，公开披露 董事会决议及回购股份预案等相关公告； 3）公司应在股东大会对公司回购股份作出决议后，并在股份回购符合证券</x:v>
      </x:c>
    </x:row>
    <x:row r="28" ht="42" customHeight="1">
      <x:c r="A28" s="12" t="str">
        <x:v>W13R023</x:v>
      </x:c>
      <x:c r="B28" s="12" t="str">
        <x:v>P1</x:v>
      </x:c>
      <x:c r="C28" s="12" t="str">
        <x:v>W13-920950-011</x:v>
      </x:c>
      <x:c r="D28" s="12" t="str">
        <x:v>920950</x:v>
      </x:c>
      <x:c r="E28" s="12" t="str">
        <x:v>迅安科技</x:v>
      </x:c>
      <x:c r="F28" s="12" t="str">
        <x:v>股权转让</x:v>
      </x:c>
      <x:c r="G28" s="12" t="n">
        <x:v>66</x:v>
      </x:c>
      <x:c r="H28" s="12" t="str">
        <x:v>低</x:v>
      </x:c>
      <x:c r="I28" s="12" t="str">
        <x:v>核对是否为真实股权转让，排除全国股转系统语境</x:v>
      </x:c>
      <x:c r="J28" s="12" t="str"/>
      <x:c r="K28" s="12" t="str"/>
      <x:c r="L28" s="12" t="str"/>
      <x:c r="M28" s="12" t="str"/>
      <x:c r="N28" s="12" t="str">
        <x:v>性和完整性承担法律责任。 2、因发行人招股说明书有虚假记载、误导性陈述或者重大遗漏，对判断发 行人是否符合法律规定的发行条件构成重大、实质影响，在该等违法事实被中 国证监会、证券交易所或司法机关等有权机关认定后，发行人将依法回购公开 发行的全部新股。发行人将在上述情形发生之日起 5 个工作日内启动股份回购 程序（包括但不限于制定股份回购方案、召开董事会...</x:v>
      </x:c>
    </x:row>
    <x:row r="29" ht="42" customHeight="1">
      <x:c r="A29" s="12" t="str">
        <x:v>W13R024</x:v>
      </x:c>
      <x:c r="B29" s="12" t="str">
        <x:v>P1</x:v>
      </x:c>
      <x:c r="C29" s="12" t="str">
        <x:v>W13-920008-010</x:v>
      </x:c>
      <x:c r="D29" s="12" t="str">
        <x:v>920008</x:v>
      </x:c>
      <x:c r="E29" s="12" t="str">
        <x:v>成电光信</x:v>
      </x:c>
      <x:c r="F29" s="12" t="str">
        <x:v>股权快照</x:v>
      </x:c>
      <x:c r="G29" s="12" t="n">
        <x:v>5</x:v>
      </x:c>
      <x:c r="H29" s="12" t="str">
        <x:v>低</x:v>
      </x:c>
      <x:c r="I29" s="12" t="str">
        <x:v>低/中置信候选优先复核</x:v>
      </x:c>
      <x:c r="J29" s="12" t="str"/>
      <x:c r="K29" s="12" t="str"/>
      <x:c r="L29" s="12" t="str"/>
      <x:c r="M29" s="12" t="str"/>
      <x:c r="N29" s="12" t="str">
        <x:v>承诺、关于招股说明书不存在虚假记载、误导性陈述或 者重大遗漏的声明与承诺以及相关责任主体承诺事项的约束措施等， 详见本招股说明书“第四节 发 行人基本情况”之“九、重要承诺”。 二、关于发行前滚存利润的分配安排 为兼顾新老股东的利益，公司在本次公开发行股票完成后，滚存的未分配利润将由新老股东按 持股比例共同享有。 三、特别风险提示 公司提醒投资者认真阅...</x:v>
      </x:c>
    </x:row>
    <x:row r="30" ht="42" customHeight="1">
      <x:c r="A30" s="12" t="str">
        <x:v>W13R025</x:v>
      </x:c>
      <x:c r="B30" s="12" t="str">
        <x:v>P1</x:v>
      </x:c>
      <x:c r="C30" s="12" t="str">
        <x:v>W13-920008-011</x:v>
      </x:c>
      <x:c r="D30" s="12" t="str">
        <x:v>920008</x:v>
      </x:c>
      <x:c r="E30" s="12" t="str">
        <x:v>成电光信</x:v>
      </x:c>
      <x:c r="F30" s="12" t="str">
        <x:v>股权快照</x:v>
      </x:c>
      <x:c r="G30" s="12" t="n">
        <x:v>29</x:v>
      </x:c>
      <x:c r="H30" s="12" t="str">
        <x:v>低</x:v>
      </x:c>
      <x:c r="I30" s="12" t="str">
        <x:v>低/中置信候选优先复核</x:v>
      </x:c>
      <x:c r="J30" s="12" t="str"/>
      <x:c r="K30" s="12" t="str"/>
      <x:c r="L30" s="12" t="str"/>
      <x:c r="M30" s="12" t="str"/>
      <x:c r="N30" s="12" t="str">
        <x:v>，若行业竞争格局或技术 路线发生重大不利变化、客户扩展不及预期、竞争加剧导致单价下行或销量不及预期等原因，可能 导致公司未来存在一定的产能消化风险。 六、发行失败风险 公司目前股东人数较少，股票市值以及交易活跃度较低。如果公司本次公开发行出现发行股份 数量、发行对象人数、发行后股东人数、公众股东持股比例等不符合北交所上市条件或者北交所规 定的其他条件的...</x:v>
      </x:c>
    </x:row>
    <x:row r="31" ht="42" customHeight="1">
      <x:c r="A31" s="12" t="str">
        <x:v>W13R026</x:v>
      </x:c>
      <x:c r="B31" s="12" t="str">
        <x:v>P1</x:v>
      </x:c>
      <x:c r="C31" s="12" t="str">
        <x:v>W13-920008-018</x:v>
      </x:c>
      <x:c r="D31" s="12" t="str">
        <x:v>920008</x:v>
      </x:c>
      <x:c r="E31" s="12" t="str">
        <x:v>成电光信</x:v>
      </x:c>
      <x:c r="F31" s="12" t="str">
        <x:v>特殊投资条款</x:v>
      </x:c>
      <x:c r="G31" s="12" t="n">
        <x:v>41</x:v>
      </x:c>
      <x:c r="H31" s="12" t="str">
        <x:v>低</x:v>
      </x:c>
      <x:c r="I31" s="12" t="str">
        <x:v>低/中置信候选优先复核</x:v>
      </x:c>
      <x:c r="J31" s="12" t="str"/>
      <x:c r="K31" s="12" t="str"/>
      <x:c r="L31" s="12" t="str"/>
      <x:c r="M31" s="12" t="str"/>
      <x:c r="N31" s="12" t="str">
        <x:v>全部内容自始无效，且在任何条件下不再恢复其法律效力；除原补充协议外，各方不存在其 他任何关于股东特殊权利及回购的约定（包括但不限于口头、书面等任何约定）；各方对公司的投 资及持股、曾作出的承诺及原补充协议的履行等事项均不存在任何尚未解决的争议、纠纷，或潜在 的争议、纠纷。 综上，公司及其股东签署的对赌协议已彻底终止，各方不存在纠纷或潜在纠纷；截至本招股...</x:v>
      </x:c>
    </x:row>
    <x:row r="32" ht="42" customHeight="1">
      <x:c r="A32" s="12" t="str">
        <x:v>W13R027</x:v>
      </x:c>
      <x:c r="B32" s="12" t="str">
        <x:v>P1</x:v>
      </x:c>
      <x:c r="C32" s="12" t="str">
        <x:v>W13-920008-014</x:v>
      </x:c>
      <x:c r="D32" s="12" t="str">
        <x:v>920008</x:v>
      </x:c>
      <x:c r="E32" s="12" t="str">
        <x:v>成电光信</x:v>
      </x:c>
      <x:c r="F32" s="12" t="str">
        <x:v>股权快照</x:v>
      </x:c>
      <x:c r="G32" s="12" t="n">
        <x:v>56</x:v>
      </x:c>
      <x:c r="H32" s="12" t="str">
        <x:v>低</x:v>
      </x:c>
      <x:c r="I32" s="12" t="str">
        <x:v>低/中置信候选优先复核</x:v>
      </x:c>
      <x:c r="J32" s="12" t="str"/>
      <x:c r="K32" s="12" t="str"/>
      <x:c r="L32" s="12" t="str"/>
      <x:c r="M32" s="12" t="str"/>
      <x:c r="N32" s="12" t="str">
        <x:v>（2）如非因不可抗力致使投资者遭受损失的，公司将依法承担赔偿责任，并按照法律、法规 及相关监管机构的要求承担相应的责任； （3）如因不可抗力导致，应尽快研究将投资者利益损失降低到最小的处理方案，并提交股东 大会审议，尽可能地保护公司投资者利益； （4）如因相关法律、法规对于社会公众股股东最低持股比例的规定导致公司在一定时期内无 法履行回购义务的，公司可...</x:v>
      </x:c>
    </x:row>
    <x:row r="33" ht="42" customHeight="1">
      <x:c r="A33" s="12" t="str">
        <x:v>W13R028</x:v>
      </x:c>
      <x:c r="B33" s="12" t="str">
        <x:v>P1</x:v>
      </x:c>
      <x:c r="C33" s="12" t="str">
        <x:v>W13-920008-015</x:v>
      </x:c>
      <x:c r="D33" s="12" t="str">
        <x:v>920008</x:v>
      </x:c>
      <x:c r="E33" s="12" t="str">
        <x:v>成电光信</x:v>
      </x:c>
      <x:c r="F33" s="12" t="str">
        <x:v>股权快照</x:v>
      </x:c>
      <x:c r="G33" s="12" t="n">
        <x:v>137</x:v>
      </x:c>
      <x:c r="H33" s="12" t="str">
        <x:v>低</x:v>
      </x:c>
      <x:c r="I33" s="12" t="str">
        <x:v>低/中置信候选优先复核</x:v>
      </x:c>
      <x:c r="J33" s="12" t="str"/>
      <x:c r="K33" s="12" t="str"/>
      <x:c r="L33" s="12" t="str"/>
      <x:c r="M33" s="12" t="str"/>
      <x:c r="N33" s="12" t="str">
        <x:v>大学信息与通信工 程硕士 主要负责公司网络总线类研发项 目的具体实施 - 伍建彬 电子科技大学电子工程 本科 主要负责公司特种显示类、 网络总 线类研发项目的具体实施 - （2）核心技术人员持有发行人股份情况 公司核心技术人员直接或间接持有公司股份情况如下： 单位：股 序号 姓名 直接持股数量 直接持股比例 间接持股数量 间接持股比例 1 王继岷 1,...</x:v>
      </x:c>
    </x:row>
  </x:sheetData>
  <x:mergeCells>
    <x:mergeCell ref="A2:N2"/>
  </x:mergeCells>
  <x:pageMargins left="0.7" right="0.7" top="0.75" bottom="0.75" header="0.3" footer="0.3"/>
</x:worksheet>
</file>

<file path=xl/worksheets/sheet8.xml><?xml version="1.0" encoding="utf-8"?>
<x:worksheet xmlns:x="http://schemas.openxmlformats.org/spreadsheetml/2006/main">
  <x:sheetPr>
    <x:tabColor rgb="FF9FBAD0"/>
  </x:sheetPr>
  <x:sheetViews>
    <x:sheetView showGridLines="0" workbookViewId="0">
      <x:pane xSplit="2" ySplit="5" topLeftCell="C6"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44" hidden="0" customWidth="1"/>
  </x:cols>
  <x:sheetData>
    <x:row r="1">
      <x:c r="J1" s="32"/>
    </x:row>
    <x:row r="2">
      <x:c r="A2" s="26" t="str">
        <x:v>第三周旧定位与第十三周定位对比</x:v>
      </x:c>
    </x:row>
    <x:row r="3">
      <x:c r="A3" s="3"/>
      <x:c r="B3" s="3"/>
      <x:c r="C3" s="3"/>
      <x:c r="D3" s="3"/>
      <x:c r="E3" s="3"/>
      <x:c r="F3" s="3"/>
      <x:c r="G3" s="3"/>
      <x:c r="H3" s="3"/>
      <x:c r="I3" s="3"/>
      <x:c r="J3" s="3"/>
    </x:row>
    <x:row r="5">
      <x:c r="A5" s="30" t="str">
        <x:v>股票代码</x:v>
      </x:c>
      <x:c r="B5" s="30" t="str">
        <x:v>公司简称</x:v>
      </x:c>
      <x:c r="C5" s="30" t="str">
        <x:v>旧候选记录</x:v>
      </x:c>
      <x:c r="D5" s="30" t="str">
        <x:v>旧定位页</x:v>
      </x:c>
      <x:c r="E5" s="30" t="str">
        <x:v>本周保留记录</x:v>
      </x:c>
      <x:c r="F5" s="30" t="str">
        <x:v>本周定位页</x:v>
      </x:c>
      <x:c r="G5" s="30" t="str">
        <x:v>重合页</x:v>
      </x:c>
      <x:c r="H5" s="30" t="str">
        <x:v>旧页找回率</x:v>
      </x:c>
      <x:c r="I5" s="30" t="str">
        <x:v>新增定位页</x:v>
      </x:c>
      <x:c r="J5" s="30" t="str">
        <x:v>比较口径</x:v>
      </x:c>
    </x:row>
    <x:row r="6" ht="22" customHeight="1">
      <x:c r="A6" s="11" t="str">
        <x:v>920123</x:v>
      </x:c>
      <x:c r="B6" s="11" t="str">
        <x:v>芭薇股份</x:v>
      </x:c>
      <x:c r="C6" s="11" t="n">
        <x:v>8</x:v>
      </x:c>
      <x:c r="D6" s="11" t="n">
        <x:v>8</x:v>
      </x:c>
      <x:c r="E6" s="11" t="n">
        <x:v>28</x:v>
      </x:c>
      <x:c r="F6" s="11" t="n">
        <x:v>15</x:v>
      </x:c>
      <x:c r="G6" s="11" t="n">
        <x:v>7</x:v>
      </x:c>
      <x:c r="H6" s="33" t="n">
        <x:v>0.875</x:v>
      </x:c>
      <x:c r="I6" s="11" t="n">
        <x:v>8</x:v>
      </x:c>
      <x:c r="J6" s="11" t="str">
        <x:v>定位结果一致性，不等同于Gold准确率</x:v>
      </x:c>
    </x:row>
    <x:row r="7" ht="22" customHeight="1">
      <x:c r="A7" s="12" t="str">
        <x:v>920575</x:v>
      </x:c>
      <x:c r="B7" s="12" t="str">
        <x:v>*ST康乐</x:v>
      </x:c>
      <x:c r="C7" s="12" t="n">
        <x:v>8</x:v>
      </x:c>
      <x:c r="D7" s="12" t="n">
        <x:v>8</x:v>
      </x:c>
      <x:c r="E7" s="12" t="n">
        <x:v>26</x:v>
      </x:c>
      <x:c r="F7" s="12" t="n">
        <x:v>21</x:v>
      </x:c>
      <x:c r="G7" s="12" t="n">
        <x:v>7</x:v>
      </x:c>
      <x:c r="H7" s="13" t="n">
        <x:v>0.875</x:v>
      </x:c>
      <x:c r="I7" s="12" t="n">
        <x:v>14</x:v>
      </x:c>
      <x:c r="J7" s="12" t="str">
        <x:v>定位结果一致性，不等同于Gold准确率</x:v>
      </x:c>
    </x:row>
    <x:row r="8" ht="22" customHeight="1">
      <x:c r="A8" s="12" t="str">
        <x:v>920719</x:v>
      </x:c>
      <x:c r="B8" s="12" t="str">
        <x:v>宁新新材</x:v>
      </x:c>
      <x:c r="C8" s="12" t="n">
        <x:v>8</x:v>
      </x:c>
      <x:c r="D8" s="12" t="n">
        <x:v>8</x:v>
      </x:c>
      <x:c r="E8" s="12" t="n">
        <x:v>22</x:v>
      </x:c>
      <x:c r="F8" s="12" t="n">
        <x:v>19</x:v>
      </x:c>
      <x:c r="G8" s="12" t="n">
        <x:v>7</x:v>
      </x:c>
      <x:c r="H8" s="13" t="n">
        <x:v>0.875</x:v>
      </x:c>
      <x:c r="I8" s="12" t="n">
        <x:v>12</x:v>
      </x:c>
      <x:c r="J8" s="12" t="str">
        <x:v>定位结果一致性，不等同于Gold准确率</x:v>
      </x:c>
    </x:row>
    <x:row r="9" ht="22" customHeight="1">
      <x:c r="A9" s="12" t="str">
        <x:v>920522</x:v>
      </x:c>
      <x:c r="B9" s="12" t="str">
        <x:v>纳科诺尔</x:v>
      </x:c>
      <x:c r="C9" s="12" t="n">
        <x:v>8</x:v>
      </x:c>
      <x:c r="D9" s="12" t="n">
        <x:v>8</x:v>
      </x:c>
      <x:c r="E9" s="12" t="n">
        <x:v>25</x:v>
      </x:c>
      <x:c r="F9" s="12" t="n">
        <x:v>19</x:v>
      </x:c>
      <x:c r="G9" s="12" t="n">
        <x:v>8</x:v>
      </x:c>
      <x:c r="H9" s="13" t="n">
        <x:v>1</x:v>
      </x:c>
      <x:c r="I9" s="12" t="n">
        <x:v>11</x:v>
      </x:c>
      <x:c r="J9" s="12" t="str">
        <x:v>定位结果一致性，不等同于Gold准确率</x:v>
      </x:c>
    </x:row>
    <x:row r="10" ht="22" customHeight="1">
      <x:c r="A10" s="12" t="str">
        <x:v>920099</x:v>
      </x:c>
      <x:c r="B10" s="12" t="str">
        <x:v>瑞华技术</x:v>
      </x:c>
      <x:c r="C10" s="12" t="n">
        <x:v>8</x:v>
      </x:c>
      <x:c r="D10" s="12" t="n">
        <x:v>8</x:v>
      </x:c>
      <x:c r="E10" s="12" t="n">
        <x:v>19</x:v>
      </x:c>
      <x:c r="F10" s="12" t="n">
        <x:v>17</x:v>
      </x:c>
      <x:c r="G10" s="12" t="n">
        <x:v>6</x:v>
      </x:c>
      <x:c r="H10" s="13" t="n">
        <x:v>0.75</x:v>
      </x:c>
      <x:c r="I10" s="12" t="n">
        <x:v>11</x:v>
      </x:c>
      <x:c r="J10" s="12" t="str">
        <x:v>定位结果一致性，不等同于Gold准确率</x:v>
      </x:c>
    </x:row>
    <x:row r="11" ht="22" customHeight="1">
      <x:c r="A11" s="12" t="str">
        <x:v>920118</x:v>
      </x:c>
      <x:c r="B11" s="12" t="str">
        <x:v>太湖远大</x:v>
      </x:c>
      <x:c r="C11" s="12" t="n">
        <x:v>8</x:v>
      </x:c>
      <x:c r="D11" s="12" t="n">
        <x:v>8</x:v>
      </x:c>
      <x:c r="E11" s="12" t="n">
        <x:v>21</x:v>
      </x:c>
      <x:c r="F11" s="12" t="n">
        <x:v>17</x:v>
      </x:c>
      <x:c r="G11" s="12" t="n">
        <x:v>4</x:v>
      </x:c>
      <x:c r="H11" s="13" t="n">
        <x:v>0.5</x:v>
      </x:c>
      <x:c r="I11" s="12" t="n">
        <x:v>13</x:v>
      </x:c>
      <x:c r="J11" s="12" t="str">
        <x:v>定位结果一致性，不等同于Gold准确率</x:v>
      </x:c>
    </x:row>
    <x:row r="12" ht="22" customHeight="1">
      <x:c r="A12" s="12" t="str">
        <x:v>920249</x:v>
      </x:c>
      <x:c r="B12" s="12" t="str">
        <x:v>利尔达</x:v>
      </x:c>
      <x:c r="C12" s="12" t="n">
        <x:v>8</x:v>
      </x:c>
      <x:c r="D12" s="12" t="n">
        <x:v>8</x:v>
      </x:c>
      <x:c r="E12" s="12" t="n">
        <x:v>30</x:v>
      </x:c>
      <x:c r="F12" s="12" t="n">
        <x:v>20</x:v>
      </x:c>
      <x:c r="G12" s="12" t="n">
        <x:v>8</x:v>
      </x:c>
      <x:c r="H12" s="13" t="n">
        <x:v>1</x:v>
      </x:c>
      <x:c r="I12" s="12" t="n">
        <x:v>12</x:v>
      </x:c>
      <x:c r="J12" s="12" t="str">
        <x:v>定位结果一致性，不等同于Gold准确率</x:v>
      </x:c>
    </x:row>
    <x:row r="13" ht="22" customHeight="1">
      <x:c r="A13" s="12" t="str">
        <x:v>920438</x:v>
      </x:c>
      <x:c r="B13" s="12" t="str">
        <x:v>戈碧迦</x:v>
      </x:c>
      <x:c r="C13" s="12" t="n">
        <x:v>8</x:v>
      </x:c>
      <x:c r="D13" s="12" t="n">
        <x:v>8</x:v>
      </x:c>
      <x:c r="E13" s="12" t="n">
        <x:v>17</x:v>
      </x:c>
      <x:c r="F13" s="12" t="n">
        <x:v>17</x:v>
      </x:c>
      <x:c r="G13" s="12" t="n">
        <x:v>4</x:v>
      </x:c>
      <x:c r="H13" s="13" t="n">
        <x:v>0.5</x:v>
      </x:c>
      <x:c r="I13" s="12" t="n">
        <x:v>13</x:v>
      </x:c>
      <x:c r="J13" s="12" t="str">
        <x:v>定位结果一致性，不等同于Gold准确率</x:v>
      </x:c>
    </x:row>
    <x:row r="14" ht="22" customHeight="1">
      <x:c r="A14" s="12" t="str">
        <x:v>920016</x:v>
      </x:c>
      <x:c r="B14" s="12" t="str">
        <x:v>中草香料</x:v>
      </x:c>
      <x:c r="C14" s="12" t="n">
        <x:v>8</x:v>
      </x:c>
      <x:c r="D14" s="12" t="n">
        <x:v>8</x:v>
      </x:c>
      <x:c r="E14" s="12" t="n">
        <x:v>28</x:v>
      </x:c>
      <x:c r="F14" s="12" t="n">
        <x:v>17</x:v>
      </x:c>
      <x:c r="G14" s="12" t="n">
        <x:v>8</x:v>
      </x:c>
      <x:c r="H14" s="13" t="n">
        <x:v>1</x:v>
      </x:c>
      <x:c r="I14" s="12" t="n">
        <x:v>9</x:v>
      </x:c>
      <x:c r="J14" s="12" t="str">
        <x:v>定位结果一致性，不等同于Gold准确率</x:v>
      </x:c>
    </x:row>
    <x:row r="15" ht="22" customHeight="1">
      <x:c r="A15" s="12" t="str">
        <x:v>920304</x:v>
      </x:c>
      <x:c r="B15" s="12" t="str">
        <x:v>迪尔化工</x:v>
      </x:c>
      <x:c r="C15" s="12" t="n">
        <x:v>8</x:v>
      </x:c>
      <x:c r="D15" s="12" t="n">
        <x:v>8</x:v>
      </x:c>
      <x:c r="E15" s="12" t="n">
        <x:v>23</x:v>
      </x:c>
      <x:c r="F15" s="12" t="n">
        <x:v>23</x:v>
      </x:c>
      <x:c r="G15" s="12" t="n">
        <x:v>4</x:v>
      </x:c>
      <x:c r="H15" s="13" t="n">
        <x:v>0.5</x:v>
      </x:c>
      <x:c r="I15" s="12" t="n">
        <x:v>19</x:v>
      </x:c>
      <x:c r="J15" s="12" t="str">
        <x:v>定位结果一致性，不等同于Gold准确率</x:v>
      </x:c>
    </x:row>
    <x:row r="16" ht="22" customHeight="1">
      <x:c r="A16" s="12" t="str">
        <x:v>920008</x:v>
      </x:c>
      <x:c r="B16" s="12" t="str">
        <x:v>成电光信</x:v>
      </x:c>
      <x:c r="C16" s="12" t="n">
        <x:v>8</x:v>
      </x:c>
      <x:c r="D16" s="12" t="n">
        <x:v>8</x:v>
      </x:c>
      <x:c r="E16" s="12" t="n">
        <x:v>17</x:v>
      </x:c>
      <x:c r="F16" s="12" t="n">
        <x:v>14</x:v>
      </x:c>
      <x:c r="G16" s="12" t="n">
        <x:v>5</x:v>
      </x:c>
      <x:c r="H16" s="13" t="n">
        <x:v>0.625</x:v>
      </x:c>
      <x:c r="I16" s="12" t="n">
        <x:v>9</x:v>
      </x:c>
      <x:c r="J16" s="12" t="str">
        <x:v>定位结果一致性，不等同于Gold准确率</x:v>
      </x:c>
    </x:row>
    <x:row r="17" ht="22" customHeight="1">
      <x:c r="A17" s="12" t="str">
        <x:v>920950</x:v>
      </x:c>
      <x:c r="B17" s="12" t="str">
        <x:v>迅安科技</x:v>
      </x:c>
      <x:c r="C17" s="12" t="n">
        <x:v>8</x:v>
      </x:c>
      <x:c r="D17" s="12" t="n">
        <x:v>8</x:v>
      </x:c>
      <x:c r="E17" s="12" t="n">
        <x:v>19</x:v>
      </x:c>
      <x:c r="F17" s="12" t="n">
        <x:v>19</x:v>
      </x:c>
      <x:c r="G17" s="12" t="n">
        <x:v>6</x:v>
      </x:c>
      <x:c r="H17" s="13" t="n">
        <x:v>0.75</x:v>
      </x:c>
      <x:c r="I17" s="12" t="n">
        <x:v>13</x:v>
      </x:c>
      <x:c r="J17" s="12" t="str">
        <x:v>定位结果一致性，不等同于Gold准确率</x:v>
      </x:c>
    </x:row>
  </x:sheetData>
  <x:mergeCells>
    <x:mergeCell ref="A2:J2"/>
  </x:mergeCells>
  <x:pageMargins left="0.7" right="0.7" top="0.75" bottom="0.75" header="0.3" footer="0.3"/>
</x:worksheet>
</file>

<file path=xl/worksheets/sheet9.xml><?xml version="1.0" encoding="utf-8"?>
<x:worksheet xmlns:x="http://schemas.openxmlformats.org/spreadsheetml/2006/main">
  <x:sheetPr>
    <x:tabColor rgb="FFA5A5A5"/>
  </x:sheetPr>
  <x:sheetViews>
    <x:sheetView showGridLines="0" workbookViewId="0">
      <x:pane xSplit="4" ySplit="5" topLeftCell="E6"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38" hidden="0" customWidth="1"/>
    <x:col min="7" max="7" width="68" hidden="0" customWidth="1"/>
    <x:col min="8" max="8" width="68" hidden="0" customWidth="1"/>
    <x:col min="9" max="9" width="54" hidden="0" customWidth="1"/>
    <x:col min="10" max="10" width="18" hidden="0" customWidth="1"/>
    <x:col min="11" max="11" width="18" hidden="0" customWidth="1"/>
    <x:col min="12" max="12" width="62" hidden="0" customWidth="1"/>
    <x:col min="13" max="13" width="58" hidden="0" customWidth="1"/>
  </x:cols>
  <x:sheetData>
    <x:row r="1">
      <x:c r="F1" s="32"/>
      <x:c r="G1" s="32"/>
      <x:c r="H1" s="32"/>
      <x:c r="L1" s="32"/>
      <x:c r="M1" s="32"/>
    </x:row>
    <x:row r="2">
      <x:c r="A2" s="26" t="str">
        <x:v>入选公司与来源追踪</x:v>
      </x:c>
    </x:row>
    <x:row r="3">
      <x:c r="A3" s="3"/>
      <x:c r="B3" s="3"/>
      <x:c r="C3" s="3"/>
      <x:c r="D3" s="3"/>
      <x:c r="E3" s="3"/>
      <x:c r="F3" s="3"/>
      <x:c r="G3" s="3"/>
      <x:c r="H3" s="3"/>
      <x:c r="I3" s="3"/>
      <x:c r="J3" s="3"/>
      <x:c r="K3" s="3"/>
      <x:c r="L3" s="3"/>
      <x:c r="M3" s="3"/>
    </x:row>
    <x:row r="5">
      <x:c r="A5" s="30" t="str">
        <x:v>批次顺序</x:v>
      </x:c>
      <x:c r="B5" s="30" t="str">
        <x:v>队列ID</x:v>
      </x:c>
      <x:c r="C5" s="30" t="str">
        <x:v>股票代码</x:v>
      </x:c>
      <x:c r="D5" s="30" t="str">
        <x:v>公司简称</x:v>
      </x:c>
      <x:c r="E5" s="30" t="str">
        <x:v>板块</x:v>
      </x:c>
      <x:c r="F5" s="30" t="str">
        <x:v>来源平台</x:v>
      </x:c>
      <x:c r="G5" s="30" t="str">
        <x:v>招股书URL</x:v>
      </x:c>
      <x:c r="H5" s="30" t="str">
        <x:v>原始文本路径</x:v>
      </x:c>
      <x:c r="I5" s="30" t="str">
        <x:v>包内文本路径</x:v>
      </x:c>
      <x:c r="J5" s="30" t="str">
        <x:v>页数</x:v>
      </x:c>
      <x:c r="K5" s="30" t="str">
        <x:v>关键词命中</x:v>
      </x:c>
      <x:c r="L5" s="30" t="str">
        <x:v>入选原因</x:v>
      </x:c>
      <x:c r="M5" s="30" t="str">
        <x:v>缺失值原则</x:v>
      </x:c>
    </x:row>
    <x:row r="6" ht="48" customHeight="1">
      <x:c r="A6" s="11" t="n">
        <x:v>1</x:v>
      </x:c>
      <x:c r="B6" s="11" t="str">
        <x:v>W12Q026</x:v>
      </x:c>
      <x:c r="C6" s="11" t="str">
        <x:v>920123</x:v>
      </x:c>
      <x:c r="D6" s="11" t="str">
        <x:v>芭薇股份</x:v>
      </x:c>
      <x:c r="E6" s="11" t="str">
        <x:v>北交所</x:v>
      </x:c>
      <x:c r="F6" s="11" t="str">
        <x:v>北京证券交易所股票列表/相关公告</x:v>
      </x:c>
      <x:c r="G6" s="11" t="str">
        <x:v>https://www.bse.cn/disclosure/2024/2024-03-18/1710747067_403240.pdf</x:v>
      </x:c>
      <x:c r="H6" s="11" t="str">
        <x:v>team-star/outputs/week3_sample_outputs/parsed_texts/W3-2024-BSE008_920123.txt</x:v>
      </x:c>
      <x:c r="I6" s="11" t="str">
        <x:v>data/source_texts/920123_W3-2024-BSE008_920123.txt</x:v>
      </x:c>
      <x:c r="J6" s="11" t="n">
        <x:v>180</x:v>
      </x:c>
      <x:c r="K6" s="11" t="n">
        <x:v>101</x:v>
      </x:c>
      <x:c r="L6" s="11" t="str">
        <x:v>第十二周P1队列中关键词命中数排名前12，且本地页码化文本完整</x:v>
      </x:c>
      <x:c r="M6" s="11" t="str">
        <x:v>招股书未披露字段留空，不根据机构名称补写备案编码、GP或LP</x:v>
      </x:c>
    </x:row>
    <x:row r="7" ht="48" customHeight="1">
      <x:c r="A7" s="12" t="n">
        <x:v>2</x:v>
      </x:c>
      <x:c r="B7" s="12" t="str">
        <x:v>W12Q011</x:v>
      </x:c>
      <x:c r="C7" s="12" t="str">
        <x:v>920575</x:v>
      </x:c>
      <x:c r="D7" s="12" t="str">
        <x:v>*ST康乐</x:v>
      </x:c>
      <x:c r="E7" s="12" t="str">
        <x:v>北交所</x:v>
      </x:c>
      <x:c r="F7" s="12" t="str">
        <x:v>北京证券交易所股票列表/相关公告</x:v>
      </x:c>
      <x:c r="G7" s="12" t="str">
        <x:v>https://www.bse.cn/disclosure/2023/2023-02-28/1677578647_721315.pdf</x:v>
      </x:c>
      <x:c r="H7" s="12" t="str">
        <x:v>team-star/outputs/week3_sample_outputs/parsed_texts/W3-2023-BSE003_920575.txt</x:v>
      </x:c>
      <x:c r="I7" s="12" t="str">
        <x:v>data/source_texts/920575_W3-2023-BSE003_920575.txt</x:v>
      </x:c>
      <x:c r="J7" s="12" t="n">
        <x:v>180</x:v>
      </x:c>
      <x:c r="K7" s="12" t="n">
        <x:v>78</x:v>
      </x:c>
      <x:c r="L7" s="12" t="str">
        <x:v>第十二周P1队列中关键词命中数排名前12，且本地页码化文本完整</x:v>
      </x:c>
      <x:c r="M7" s="12" t="str">
        <x:v>招股书未披露字段留空，不根据机构名称补写备案编码、GP或LP</x:v>
      </x:c>
    </x:row>
    <x:row r="8" ht="48" customHeight="1">
      <x:c r="A8" s="12" t="n">
        <x:v>3</x:v>
      </x:c>
      <x:c r="B8" s="12" t="str">
        <x:v>W12Q013</x:v>
      </x:c>
      <x:c r="C8" s="12" t="str">
        <x:v>920719</x:v>
      </x:c>
      <x:c r="D8" s="12" t="str">
        <x:v>宁新新材</x:v>
      </x:c>
      <x:c r="E8" s="12" t="str">
        <x:v>北交所</x:v>
      </x:c>
      <x:c r="F8" s="12" t="str">
        <x:v>北京证券交易所股票列表/相关公告</x:v>
      </x:c>
      <x:c r="G8" s="12" t="str">
        <x:v>https://www.bse.cn/disclosure/2023/2023-05-08/1683539772_634679.pdf</x:v>
      </x:c>
      <x:c r="H8" s="12" t="str">
        <x:v>team-star/outputs/week3_sample_outputs/parsed_texts/W3-2023-BSE005_920719.txt</x:v>
      </x:c>
      <x:c r="I8" s="12" t="str">
        <x:v>data/source_texts/920719_W3-2023-BSE005_920719.txt</x:v>
      </x:c>
      <x:c r="J8" s="12" t="n">
        <x:v>180</x:v>
      </x:c>
      <x:c r="K8" s="12" t="n">
        <x:v>54</x:v>
      </x:c>
      <x:c r="L8" s="12" t="str">
        <x:v>第十二周P1队列中关键词命中数排名前12，且本地页码化文本完整</x:v>
      </x:c>
      <x:c r="M8" s="12" t="str">
        <x:v>招股书未披露字段留空，不根据机构名称补写备案编码、GP或LP</x:v>
      </x:c>
    </x:row>
    <x:row r="9" ht="48" customHeight="1">
      <x:c r="A9" s="12" t="n">
        <x:v>4</x:v>
      </x:c>
      <x:c r="B9" s="12" t="str">
        <x:v>W12Q017</x:v>
      </x:c>
      <x:c r="C9" s="12" t="str">
        <x:v>920522</x:v>
      </x:c>
      <x:c r="D9" s="12" t="str">
        <x:v>纳科诺尔</x:v>
      </x:c>
      <x:c r="E9" s="12" t="str">
        <x:v>北交所</x:v>
      </x:c>
      <x:c r="F9" s="12" t="str">
        <x:v>北京证券交易所股票列表/相关公告</x:v>
      </x:c>
      <x:c r="G9" s="12" t="str">
        <x:v>https://www.bse.cn/disclosure/2023/2023-10-30/1698659303_685783.pdf</x:v>
      </x:c>
      <x:c r="H9" s="12" t="str">
        <x:v>team-star/outputs/week3_sample_outputs/parsed_texts/W3-2023-BSE009_920522.txt</x:v>
      </x:c>
      <x:c r="I9" s="12" t="str">
        <x:v>data/source_texts/920522_W3-2023-BSE009_920522.txt</x:v>
      </x:c>
      <x:c r="J9" s="12" t="n">
        <x:v>180</x:v>
      </x:c>
      <x:c r="K9" s="12" t="n">
        <x:v>42</x:v>
      </x:c>
      <x:c r="L9" s="12" t="str">
        <x:v>第十二周P1队列中关键词命中数排名前12，且本地页码化文本完整</x:v>
      </x:c>
      <x:c r="M9" s="12" t="str">
        <x:v>招股书未披露字段留空，不根据机构名称补写备案编码、GP或LP</x:v>
      </x:c>
    </x:row>
    <x:row r="10" ht="48" customHeight="1">
      <x:c r="A10" s="12" t="n">
        <x:v>5</x:v>
      </x:c>
      <x:c r="B10" s="12" t="str">
        <x:v>W12Q032</x:v>
      </x:c>
      <x:c r="C10" s="12" t="str">
        <x:v>920099</x:v>
      </x:c>
      <x:c r="D10" s="12" t="str">
        <x:v>瑞华技术</x:v>
      </x:c>
      <x:c r="E10" s="12" t="str">
        <x:v>北交所</x:v>
      </x:c>
      <x:c r="F10" s="12" t="str">
        <x:v>北京证券交易所股票列表/相关公告</x:v>
      </x:c>
      <x:c r="G10" s="12" t="str">
        <x:v>https://www.bse.cn/disclosure/2024/2024-09-06/1725619244_825140.pdf</x:v>
      </x:c>
      <x:c r="H10" s="12" t="str">
        <x:v>team-star/outputs/week3_sample_outputs/parsed_texts/W3-2024-BSE014_920099.txt</x:v>
      </x:c>
      <x:c r="I10" s="12" t="str">
        <x:v>data/source_texts/920099_W3-2024-BSE014_920099.txt</x:v>
      </x:c>
      <x:c r="J10" s="12" t="n">
        <x:v>180</x:v>
      </x:c>
      <x:c r="K10" s="12" t="n">
        <x:v>39</x:v>
      </x:c>
      <x:c r="L10" s="12" t="str">
        <x:v>第十二周P1队列中关键词命中数排名前12，且本地页码化文本完整</x:v>
      </x:c>
      <x:c r="M10" s="12" t="str">
        <x:v>招股书未披露字段留空，不根据机构名称补写备案编码、GP或LP</x:v>
      </x:c>
    </x:row>
    <x:row r="11" ht="48" customHeight="1">
      <x:c r="A11" s="12" t="n">
        <x:v>6</x:v>
      </x:c>
      <x:c r="B11" s="12" t="str">
        <x:v>W12Q029</x:v>
      </x:c>
      <x:c r="C11" s="12" t="str">
        <x:v>920118</x:v>
      </x:c>
      <x:c r="D11" s="12" t="str">
        <x:v>太湖远大</x:v>
      </x:c>
      <x:c r="E11" s="12" t="str">
        <x:v>北交所</x:v>
      </x:c>
      <x:c r="F11" s="12" t="str">
        <x:v>北京证券交易所股票列表/相关公告</x:v>
      </x:c>
      <x:c r="G11" s="12" t="str">
        <x:v>https://www.bse.cn/disclosure/2024/2024-08-09/1723199304_455800.pdf</x:v>
      </x:c>
      <x:c r="H11" s="12" t="str">
        <x:v>team-star/outputs/week3_sample_outputs/parsed_texts/W3-2024-BSE011_920118.txt</x:v>
      </x:c>
      <x:c r="I11" s="12" t="str">
        <x:v>data/source_texts/920118_W3-2024-BSE011_920118.txt</x:v>
      </x:c>
      <x:c r="J11" s="12" t="n">
        <x:v>180</x:v>
      </x:c>
      <x:c r="K11" s="12" t="n">
        <x:v>39</x:v>
      </x:c>
      <x:c r="L11" s="12" t="str">
        <x:v>第十二周P1队列中关键词命中数排名前12，且本地页码化文本完整</x:v>
      </x:c>
      <x:c r="M11" s="12" t="str">
        <x:v>招股书未披露字段留空，不根据机构名称补写备案编码、GP或LP</x:v>
      </x:c>
    </x:row>
    <x:row r="12" ht="48" customHeight="1">
      <x:c r="A12" s="12" t="n">
        <x:v>7</x:v>
      </x:c>
      <x:c r="B12" s="12" t="str">
        <x:v>W12Q010</x:v>
      </x:c>
      <x:c r="C12" s="12" t="str">
        <x:v>920249</x:v>
      </x:c>
      <x:c r="D12" s="12" t="str">
        <x:v>利尔达</x:v>
      </x:c>
      <x:c r="E12" s="12" t="str">
        <x:v>北交所</x:v>
      </x:c>
      <x:c r="F12" s="12" t="str">
        <x:v>北京证券交易所股票列表/相关公告</x:v>
      </x:c>
      <x:c r="G12" s="12" t="str">
        <x:v>https://www.bse.cn/disclosure/2023/2023-01-30/1675066930_267828.pdf</x:v>
      </x:c>
      <x:c r="H12" s="12" t="str">
        <x:v>team-star/outputs/week3_sample_outputs/parsed_texts/W3-2023-BSE002_920249.txt</x:v>
      </x:c>
      <x:c r="I12" s="12" t="str">
        <x:v>data/source_texts/920249_W3-2023-BSE002_920249.txt</x:v>
      </x:c>
      <x:c r="J12" s="12" t="n">
        <x:v>180</x:v>
      </x:c>
      <x:c r="K12" s="12" t="n">
        <x:v>34</x:v>
      </x:c>
      <x:c r="L12" s="12" t="str">
        <x:v>第十二周P1队列中关键词命中数排名前12，且本地页码化文本完整</x:v>
      </x:c>
      <x:c r="M12" s="12" t="str">
        <x:v>招股书未披露字段留空，不根据机构名称补写备案编码、GP或LP</x:v>
      </x:c>
    </x:row>
    <x:row r="13" ht="48" customHeight="1">
      <x:c r="A13" s="12" t="n">
        <x:v>8</x:v>
      </x:c>
      <x:c r="B13" s="12" t="str">
        <x:v>W12Q025</x:v>
      </x:c>
      <x:c r="C13" s="12" t="str">
        <x:v>920438</x:v>
      </x:c>
      <x:c r="D13" s="12" t="str">
        <x:v>戈碧迦</x:v>
      </x:c>
      <x:c r="E13" s="12" t="str">
        <x:v>北交所</x:v>
      </x:c>
      <x:c r="F13" s="12" t="str">
        <x:v>北京证券交易所股票列表/相关公告</x:v>
      </x:c>
      <x:c r="G13" s="12" t="str">
        <x:v>https://www.bse.cn/disclosure/2024/2024-03-11/1710153861_037009.pdf</x:v>
      </x:c>
      <x:c r="H13" s="12" t="str">
        <x:v>team-star/outputs/week3_sample_outputs/parsed_texts/W3-2024-BSE007_920438.txt</x:v>
      </x:c>
      <x:c r="I13" s="12" t="str">
        <x:v>data/source_texts/920438_W3-2024-BSE007_920438.txt</x:v>
      </x:c>
      <x:c r="J13" s="12" t="n">
        <x:v>180</x:v>
      </x:c>
      <x:c r="K13" s="12" t="n">
        <x:v>34</x:v>
      </x:c>
      <x:c r="L13" s="12" t="str">
        <x:v>第十二周P1队列中关键词命中数排名前12，且本地页码化文本完整</x:v>
      </x:c>
      <x:c r="M13" s="12" t="str">
        <x:v>招股书未披露字段留空，不根据机构名称补写备案编码、GP或LP</x:v>
      </x:c>
    </x:row>
    <x:row r="14" ht="48" customHeight="1">
      <x:c r="A14" s="12" t="n">
        <x:v>9</x:v>
      </x:c>
      <x:c r="B14" s="12" t="str">
        <x:v>W12Q031</x:v>
      </x:c>
      <x:c r="C14" s="12" t="str">
        <x:v>920016</x:v>
      </x:c>
      <x:c r="D14" s="12" t="str">
        <x:v>中草香料</x:v>
      </x:c>
      <x:c r="E14" s="12" t="str">
        <x:v>北交所</x:v>
      </x:c>
      <x:c r="F14" s="12" t="str">
        <x:v>北京证券交易所股票列表/相关公告</x:v>
      </x:c>
      <x:c r="G14" s="12" t="str">
        <x:v>https://www.bse.cn/disclosure/2024/2024-08-30/1725017664_266165.pdf</x:v>
      </x:c>
      <x:c r="H14" s="12" t="str">
        <x:v>team-star/outputs/week3_sample_outputs/parsed_texts/W3-2024-BSE013_920016.txt</x:v>
      </x:c>
      <x:c r="I14" s="12" t="str">
        <x:v>data/source_texts/920016_W3-2024-BSE013_920016.txt</x:v>
      </x:c>
      <x:c r="J14" s="12" t="n">
        <x:v>180</x:v>
      </x:c>
      <x:c r="K14" s="12" t="n">
        <x:v>32</x:v>
      </x:c>
      <x:c r="L14" s="12" t="str">
        <x:v>第十二周P1队列中关键词命中数排名前12，且本地页码化文本完整</x:v>
      </x:c>
      <x:c r="M14" s="12" t="str">
        <x:v>招股书未披露字段留空，不根据机构名称补写备案编码、GP或LP</x:v>
      </x:c>
    </x:row>
    <x:row r="15" ht="48" customHeight="1">
      <x:c r="A15" s="12" t="n">
        <x:v>10</x:v>
      </x:c>
      <x:c r="B15" s="12" t="str">
        <x:v>W12Q012</x:v>
      </x:c>
      <x:c r="C15" s="12" t="str">
        <x:v>920304</x:v>
      </x:c>
      <x:c r="D15" s="12" t="str">
        <x:v>迪尔化工</x:v>
      </x:c>
      <x:c r="E15" s="12" t="str">
        <x:v>北交所</x:v>
      </x:c>
      <x:c r="F15" s="12" t="str">
        <x:v>北京证券交易所股票列表/相关公告</x:v>
      </x:c>
      <x:c r="G15" s="12" t="str">
        <x:v>https://www.bse.cn/disclosure/2023/2023-03-30/1680171127_157748.pdf</x:v>
      </x:c>
      <x:c r="H15" s="12" t="str">
        <x:v>team-star/outputs/week3_sample_outputs/parsed_texts/W3-2023-BSE004_920304.txt</x:v>
      </x:c>
      <x:c r="I15" s="12" t="str">
        <x:v>data/source_texts/920304_W3-2023-BSE004_920304.txt</x:v>
      </x:c>
      <x:c r="J15" s="12" t="n">
        <x:v>180</x:v>
      </x:c>
      <x:c r="K15" s="12" t="n">
        <x:v>27</x:v>
      </x:c>
      <x:c r="L15" s="12" t="str">
        <x:v>第十二周P1队列中关键词命中数排名前12，且本地页码化文本完整</x:v>
      </x:c>
      <x:c r="M15" s="12" t="str">
        <x:v>招股书未披露字段留空，不根据机构名称补写备案编码、GP或LP</x:v>
      </x:c>
    </x:row>
    <x:row r="16" ht="48" customHeight="1">
      <x:c r="A16" s="12" t="n">
        <x:v>11</x:v>
      </x:c>
      <x:c r="B16" s="12" t="str">
        <x:v>W12Q030</x:v>
      </x:c>
      <x:c r="C16" s="12" t="str">
        <x:v>920008</x:v>
      </x:c>
      <x:c r="D16" s="12" t="str">
        <x:v>成电光信</x:v>
      </x:c>
      <x:c r="E16" s="12" t="str">
        <x:v>北交所</x:v>
      </x:c>
      <x:c r="F16" s="12" t="str">
        <x:v>北京证券交易所股票列表/相关公告</x:v>
      </x:c>
      <x:c r="G16" s="12" t="str">
        <x:v>https://www.bse.cn/disclosure/2024/2024-08-16/1723796660_838279.pdf</x:v>
      </x:c>
      <x:c r="H16" s="12" t="str">
        <x:v>team-star/outputs/week3_sample_outputs/parsed_texts/W3-2024-BSE012_920008.txt</x:v>
      </x:c>
      <x:c r="I16" s="12" t="str">
        <x:v>data/source_texts/920008_W3-2024-BSE012_920008.txt</x:v>
      </x:c>
      <x:c r="J16" s="12" t="n">
        <x:v>180</x:v>
      </x:c>
      <x:c r="K16" s="12" t="n">
        <x:v>26</x:v>
      </x:c>
      <x:c r="L16" s="12" t="str">
        <x:v>第十二周P1队列中关键词命中数排名前12，且本地页码化文本完整</x:v>
      </x:c>
      <x:c r="M16" s="12" t="str">
        <x:v>招股书未披露字段留空，不根据机构名称补写备案编码、GP或LP</x:v>
      </x:c>
    </x:row>
    <x:row r="17" ht="48" customHeight="1">
      <x:c r="A17" s="12" t="n">
        <x:v>12</x:v>
      </x:c>
      <x:c r="B17" s="12" t="str">
        <x:v>W12Q009</x:v>
      </x:c>
      <x:c r="C17" s="12" t="str">
        <x:v>920950</x:v>
      </x:c>
      <x:c r="D17" s="12" t="str">
        <x:v>迅安科技</x:v>
      </x:c>
      <x:c r="E17" s="12" t="str">
        <x:v>北交所</x:v>
      </x:c>
      <x:c r="F17" s="12" t="str">
        <x:v>北京证券交易所股票列表/相关公告</x:v>
      </x:c>
      <x:c r="G17" s="12" t="str">
        <x:v>https://www.bse.cn/disclosure/2022/2022-12-22/1671694441_779022.pdf</x:v>
      </x:c>
      <x:c r="H17" s="12" t="str">
        <x:v>team-star/outputs/week3_sample_outputs/parsed_texts/W3-2023-BSE001_920950.txt</x:v>
      </x:c>
      <x:c r="I17" s="12" t="str">
        <x:v>data/source_texts/920950_W3-2023-BSE001_920950.txt</x:v>
      </x:c>
      <x:c r="J17" s="12" t="n">
        <x:v>180</x:v>
      </x:c>
      <x:c r="K17" s="12" t="n">
        <x:v>26</x:v>
      </x:c>
      <x:c r="L17" s="12" t="str">
        <x:v>第十二周P1队列中关键词命中数排名前12，且本地页码化文本完整</x:v>
      </x:c>
      <x:c r="M17" s="12" t="str">
        <x:v>招股书未披露字段留空，不根据机构名称补写备案编码、GP或LP</x:v>
      </x:c>
    </x:row>
  </x:sheetData>
  <x:mergeCells>
    <x:mergeCell ref="A2:M2"/>
  </x:mergeCells>
  <x:pageMargins left="0.7" right="0.7" top="0.75" bottom="0.75" header="0.3" footer="0.3"/>
</x:worksheet>
</file>

<file path=xl/worksheets/sheet10.xml><?xml version="1.0" encoding="utf-8"?>
<x:worksheet xmlns:x="http://schemas.openxmlformats.org/spreadsheetml/2006/main">
  <x:sheetPr>
    <x:tabColor rgb="FFA5A5A5"/>
  </x:sheetPr>
  <x:sheetViews>
    <x:sheetView showGridLines="0" workbookViewId="0">
      <x:pane ySplit="5" topLeftCell="A6" activePane="bottomLeft" state="frozen"/>
    </x:sheetView>
  </x:sheetViews>
  <x:sheetFormatPr defaultRowHeight="15"/>
  <x:cols>
    <x:col min="1" max="1" width="24" hidden="0" customWidth="1"/>
    <x:col min="2" max="2" width="62" hidden="0" customWidth="1"/>
    <x:col min="3" max="3" width="62" hidden="0" customWidth="1"/>
    <x:col min="4" max="4" width="52" hidden="0" customWidth="1"/>
  </x:cols>
  <x:sheetData>
    <x:row r="1">
      <x:c r="B1" s="32"/>
      <x:c r="C1" s="32"/>
      <x:c r="D1" s="32"/>
    </x:row>
    <x:row r="2">
      <x:c r="A2" s="26" t="str">
        <x:v>investor_type分类规则</x:v>
      </x:c>
    </x:row>
    <x:row r="3">
      <x:c r="A3" s="3"/>
      <x:c r="B3" s="3"/>
      <x:c r="C3" s="3"/>
      <x:c r="D3" s="3"/>
    </x:row>
    <x:row r="5">
      <x:c r="A5" s="30" t="str">
        <x:v>类型</x:v>
      </x:c>
      <x:c r="B5" s="30" t="str">
        <x:v>正向规则</x:v>
      </x:c>
      <x:c r="C5" s="30" t="str">
        <x:v>不得直接归类的情形</x:v>
      </x:c>
      <x:c r="D5" s="30" t="str">
        <x:v>Final要求</x:v>
      </x:c>
    </x:row>
    <x:row r="6" ht="44" customHeight="1">
      <x:c r="A6" s="11" t="str">
        <x:v>员工持股平台</x:v>
      </x:c>
      <x:c r="B6" s="11" t="str">
        <x:v>名称或上下文明确出现员工持股、职工持股或持股平台</x:v>
      </x:c>
      <x:c r="C6" s="11" t="str">
        <x:v>名称含投资/合伙但无员工属性时不得归类</x:v>
      </x:c>
      <x:c r="D6" s="11" t="str">
        <x:v>核对招股书股东性质说明</x:v>
      </x:c>
    </x:row>
    <x:row r="7" ht="44" customHeight="1">
      <x:c r="A7" s="12" t="str">
        <x:v>政府基金/国资</x:v>
      </x:c>
      <x:c r="B7" s="12" t="str">
        <x:v>政府投资基金、产业引导基金、财政或国资线索</x:v>
      </x:c>
      <x:c r="C7" s="12" t="str">
        <x:v>仅有产业字样不得直接判断为政府基金</x:v>
      </x:c>
      <x:c r="D7" s="12" t="str">
        <x:v>核对出资人或控制人来源</x:v>
      </x:c>
    </x:row>
    <x:row r="8" ht="44" customHeight="1">
      <x:c r="A8" s="12" t="str">
        <x:v>VC</x:v>
      </x:c>
      <x:c r="B8" s="12" t="str">
        <x:v>名称或原文明确出现创业投资/创投</x:v>
      </x:c>
      <x:c r="C8" s="12" t="str">
        <x:v>普通投资公司不得仅凭名称归VC</x:v>
      </x:c>
      <x:c r="D8" s="12" t="str">
        <x:v>招股书或权威登记来源</x:v>
      </x:c>
    </x:row>
    <x:row r="9" ht="44" customHeight="1">
      <x:c r="A9" s="12" t="str">
        <x:v>PE</x:v>
      </x:c>
      <x:c r="B9" s="12" t="str">
        <x:v>股权投资基金、私募股权、并购基金或投资基金</x:v>
      </x:c>
      <x:c r="C9" s="12" t="str">
        <x:v>企业法人股东不自动归PE</x:v>
      </x:c>
      <x:c r="D9" s="12" t="str">
        <x:v>基金属性及备案来源</x:v>
      </x:c>
    </x:row>
    <x:row r="10" ht="44" customHeight="1">
      <x:c r="A10" s="12" t="str">
        <x:v>CVC</x:v>
      </x:c>
      <x:c r="B10" s="12" t="str">
        <x:v>产业投资主体且可确认其由产业企业控制</x:v>
      </x:c>
      <x:c r="C10" s="12" t="str">
        <x:v>产业投资名称只能形成CVC候选</x:v>
      </x:c>
      <x:c r="D10" s="12" t="str">
        <x:v>核对实际控制人及主营业务关系</x:v>
      </x:c>
    </x:row>
    <x:row r="11" ht="44" customHeight="1">
      <x:c r="A11" s="12" t="str">
        <x:v>企业法人候选</x:v>
      </x:c>
      <x:c r="B11" s="12" t="str">
        <x:v>公司制主体但当前文本未证明基金属性</x:v>
      </x:c>
      <x:c r="C11" s="12" t="str">
        <x:v>不与CVC或PE/VC混用</x:v>
      </x:c>
      <x:c r="D11" s="12" t="str">
        <x:v>人工确认其投资目的与控制关系</x:v>
      </x:c>
    </x:row>
    <x:row r="12" ht="44" customHeight="1">
      <x:c r="A12" s="12" t="str">
        <x:v>自然人</x:v>
      </x:c>
      <x:c r="B12" s="12" t="str">
        <x:v>原文明确为个人姓名或自然人股东</x:v>
      </x:c>
      <x:c r="C12" s="12" t="str">
        <x:v>不得使用机构名称规则识别</x:v>
      </x:c>
      <x:c r="D12" s="12" t="str">
        <x:v>核对股东性质栏</x:v>
      </x:c>
    </x:row>
  </x:sheetData>
  <x:mergeCells>
    <x:mergeCell ref="A2:D2"/>
  </x:mergeCells>
  <x:pageMargins left="0.7" right="0.7" top="0.75" bottom="0.75" header="0.3" footer="0.3"/>
</x:worksheet>
</file>

<file path=xl/worksheets/sheet11.xml><?xml version="1.0" encoding="utf-8"?>
<x:worksheet xmlns:x="http://schemas.openxmlformats.org/spreadsheetml/2006/main">
  <x:sheetPr>
    <x:tabColor rgb="FF70AD47"/>
  </x:sheetPr>
  <x:sheetViews>
    <x:sheetView showGridLines="0" workbookViewId="0">
      <x:pane ySplit="5" topLeftCell="A6" activePane="bottomLeft" state="frozen"/>
    </x:sheetView>
  </x:sheetViews>
  <x:sheetFormatPr defaultRowHeight="15"/>
  <x:cols>
    <x:col min="1" max="1" width="34" hidden="0" customWidth="1"/>
    <x:col min="2" max="2" width="26" hidden="0" customWidth="1"/>
    <x:col min="3" max="3" width="66" hidden="0" customWidth="1"/>
  </x:cols>
  <x:sheetData>
    <x:row r="1">
      <x:c r="C1" s="32"/>
    </x:row>
    <x:row r="2">
      <x:c r="A2" s="26" t="str">
        <x:v>PostgreSQL导入与查询披露</x:v>
      </x:c>
    </x:row>
    <x:row r="3">
      <x:c r="A3" s="3"/>
      <x:c r="B3" s="3"/>
      <x:c r="C3" s="3"/>
    </x:row>
    <x:row r="5">
      <x:c r="A5" s="30" t="str">
        <x:v>项目</x:v>
      </x:c>
      <x:c r="B5" s="30" t="str">
        <x:v>结果</x:v>
      </x:c>
      <x:c r="C5" s="30" t="str">
        <x:v>来源说明</x:v>
      </x:c>
    </x:row>
    <x:row r="6" ht="22" customHeight="1">
      <x:c r="A6" s="11" t="str">
        <x:v>数据库类型</x:v>
      </x:c>
      <x:c r="B6" s="11" t="str">
        <x:v>PostgreSQL临时实例</x:v>
      </x:c>
      <x:c r="C6" s="11" t="str">
        <x:v>验证第十三周扩样结果可以重复导入和查询</x:v>
      </x:c>
    </x:row>
    <x:row r="7" ht="22" customHeight="1">
      <x:c r="A7" s="12" t="str">
        <x:v>导入表数量</x:v>
      </x:c>
      <x:c r="B7" s="12" t="str">
        <x:v>11</x:v>
      </x:c>
      <x:c r="C7" s="12" t="str">
        <x:v>pevc_week13 schema</x:v>
      </x:c>
    </x:row>
    <x:row r="8" ht="22" customHeight="1">
      <x:c r="A8" s="12" t="str">
        <x:v>导入总行数</x:v>
      </x:c>
      <x:c r="B8" s="12" t="str">
        <x:v>492</x:v>
      </x:c>
      <x:c r="C8" s="12" t="str">
        <x:v>11张派生表合计</x:v>
      </x:c>
    </x:row>
    <x:row r="9" ht="22" customHeight="1">
      <x:c r="A9" s="12" t="str">
        <x:v>首批扩样公司数</x:v>
      </x:c>
      <x:c r="B9" s="12" t="str">
        <x:v>12</x:v>
      </x:c>
      <x:c r="C9" s="12" t="str">
        <x:v>week13_selected_companies</x:v>
      </x:c>
    </x:row>
    <x:row r="10" ht="22" customHeight="1">
      <x:c r="A10" s="12" t="str">
        <x:v>页码化文本总页数</x:v>
      </x:c>
      <x:c r="B10" s="12" t="str">
        <x:v>2160</x:v>
      </x:c>
      <x:c r="C10" s="12" t="str">
        <x:v>week13_selected_companies.page_count</x:v>
      </x:c>
    </x:row>
    <x:row r="11" ht="22" customHeight="1">
      <x:c r="A11" s="12" t="str">
        <x:v>Auto候选记录数</x:v>
      </x:c>
      <x:c r="B11" s="12" t="str">
        <x:v>301</x:v>
      </x:c>
      <x:c r="C11" s="12" t="str">
        <x:v>含保留与规则排除记录</x:v>
      </x:c>
    </x:row>
    <x:row r="12" ht="22" customHeight="1">
      <x:c r="A12" s="12" t="str">
        <x:v>保留Auto候选数</x:v>
      </x:c>
      <x:c r="B12" s="12" t="str">
        <x:v>275</x:v>
      </x:c>
      <x:c r="C12" s="12" t="str">
        <x:v>auto_status以保留开头</x:v>
      </x:c>
    </x:row>
    <x:row r="13" ht="22" customHeight="1">
      <x:c r="A13" s="12" t="str">
        <x:v>转让系统语境排除数</x:v>
      </x:c>
      <x:c r="B13" s="12" t="str">
        <x:v>26</x:v>
      </x:c>
      <x:c r="C13" s="12" t="str">
        <x:v>auto_status以排除开头</x:v>
      </x:c>
    </x:row>
    <x:row r="14" ht="22" customHeight="1">
      <x:c r="A14" s="12" t="str">
        <x:v>去重投资主体候选数</x:v>
      </x:c>
      <x:c r="B14" s="12" t="str">
        <x:v>52</x:v>
      </x:c>
      <x:c r="C14" s="12" t="str">
        <x:v>仍需人工确认分类</x:v>
      </x:c>
    </x:row>
    <x:row r="15" ht="22" customHeight="1">
      <x:c r="A15" s="12" t="str">
        <x:v>人工复核队列数</x:v>
      </x:c>
      <x:c r="B15" s="12" t="str">
        <x:v>28</x:v>
      </x:c>
      <x:c r="C15" s="12" t="str">
        <x:v>优先核对低/中置信及转让/备案</x:v>
      </x:c>
    </x:row>
    <x:row r="16" ht="22" customHeight="1">
      <x:c r="A16" s="12" t="str">
        <x:v>旧定位页平均找回率</x:v>
      </x:c>
      <x:c r="B16" s="12" t="str">
        <x:v>0.7708</x:v>
      </x:c>
      <x:c r="C16" s="12" t="str">
        <x:v>定位一致性，不等同Gold准确率</x:v>
      </x:c>
    </x:row>
    <x:row r="17" ht="22" customHeight="1">
      <x:c r="A17" s="12" t="str">
        <x:v>已填写AMAC编码数</x:v>
      </x:c>
      <x:c r="B17" s="12" t="str">
        <x:v>0</x:v>
      </x:c>
      <x:c r="C17" s="12" t="str">
        <x:v>未披露保持空值</x:v>
      </x:c>
    </x:row>
    <x:row r="18" ht="22" customHeight="1">
      <x:c r="A18" s="12" t="str">
        <x:v>已填写GP数</x:v>
      </x:c>
      <x:c r="B18" s="12" t="str">
        <x:v>0</x:v>
      </x:c>
      <x:c r="C18" s="12" t="str">
        <x:v>未披露保持空值</x:v>
      </x:c>
    </x:row>
    <x:row r="19" ht="22" customHeight="1">
      <x:c r="A19" s="12" t="str">
        <x:v>已填写LP结构数</x:v>
      </x:c>
      <x:c r="B19" s="12" t="str">
        <x:v>0</x:v>
      </x:c>
      <x:c r="C19" s="12" t="str">
        <x:v>未披露保持空值</x:v>
      </x:c>
    </x:row>
  </x:sheetData>
  <x:mergeCells>
    <x:mergeCell ref="A2:C2"/>
  </x:mergeCells>
  <x:pageMargins left="0.7" right="0.7" top="0.75" bottom="0.75" header="0.3" footer="0.3"/>
</x:worksheet>
</file>

<file path=xl/worksheets/sheet12.xml><?xml version="1.0" encoding="utf-8"?>
<x:worksheet xmlns:x="http://schemas.openxmlformats.org/spreadsheetml/2006/main">
  <x:sheetPr>
    <x:tabColor rgb="FF70AD47"/>
  </x:sheetPr>
  <x:sheetViews>
    <x:sheetView showGridLines="0" workbookViewId="0">
      <x:pane ySplit="5" topLeftCell="A6" activePane="bottomLeft" state="frozen"/>
    </x:sheetView>
  </x:sheetViews>
  <x:sheetFormatPr defaultRowHeight="15"/>
  <x:cols>
    <x:col min="1" max="1" width="48" hidden="0" customWidth="1"/>
    <x:col min="2" max="2" width="16" hidden="0" customWidth="1"/>
  </x:cols>
  <x:sheetData>
    <x:row r="2">
      <x:c r="A2" s="26" t="str">
        <x:v>PostgreSQL表行数</x:v>
      </x:c>
    </x:row>
    <x:row r="3">
      <x:c r="A3" s="3"/>
      <x:c r="B3" s="3"/>
    </x:row>
    <x:row r="5">
      <x:c r="A5" s="30" t="str">
        <x:v>表名</x:v>
      </x:c>
      <x:c r="B5" s="30" t="str">
        <x:v>行数</x:v>
      </x:c>
    </x:row>
    <x:row r="6" ht="22" customHeight="1">
      <x:c r="A6" s="11" t="str">
        <x:v>week13_auto_evidence_candidates</x:v>
      </x:c>
      <x:c r="B6" s="11" t="n">
        <x:v>301</x:v>
      </x:c>
    </x:row>
    <x:row r="7" ht="22" customHeight="1">
      <x:c r="A7" s="12" t="str">
        <x:v>week13_chapter_locator</x:v>
      </x:c>
      <x:c r="B7" s="12" t="n">
        <x:v>48</x:v>
      </x:c>
    </x:row>
    <x:row r="8" ht="22" customHeight="1">
      <x:c r="A8" s="12" t="str">
        <x:v>week13_company_progress</x:v>
      </x:c>
      <x:c r="B8" s="12" t="n">
        <x:v>12</x:v>
      </x:c>
    </x:row>
    <x:row r="9" ht="22" customHeight="1">
      <x:c r="A9" s="12" t="str">
        <x:v>week13_event_summary</x:v>
      </x:c>
      <x:c r="B9" s="12" t="n">
        <x:v>5</x:v>
      </x:c>
    </x:row>
    <x:row r="10" ht="22" customHeight="1">
      <x:c r="A10" s="12" t="str">
        <x:v>week13_investor_profile</x:v>
      </x:c>
      <x:c r="B10" s="12" t="n">
        <x:v>52</x:v>
      </x:c>
    </x:row>
    <x:row r="11" ht="22" customHeight="1">
      <x:c r="A11" s="12" t="str">
        <x:v>week13_investor_type_rules</x:v>
      </x:c>
      <x:c r="B11" s="12" t="n">
        <x:v>7</x:v>
      </x:c>
    </x:row>
    <x:row r="12" ht="22" customHeight="1">
      <x:c r="A12" s="12" t="str">
        <x:v>week13_manual_review_queue</x:v>
      </x:c>
      <x:c r="B12" s="12" t="n">
        <x:v>28</x:v>
      </x:c>
    </x:row>
    <x:row r="13" ht="22" customHeight="1">
      <x:c r="A13" s="12" t="str">
        <x:v>week13_old_new_crosscheck</x:v>
      </x:c>
      <x:c r="B13" s="12" t="n">
        <x:v>12</x:v>
      </x:c>
    </x:row>
    <x:row r="14" ht="22" customHeight="1">
      <x:c r="A14" s="12" t="str">
        <x:v>week13_selected_companies</x:v>
      </x:c>
      <x:c r="B14" s="12" t="n">
        <x:v>12</x:v>
      </x:c>
    </x:row>
    <x:row r="15" ht="22" customHeight="1">
      <x:c r="A15" s="12" t="str">
        <x:v>week13_validation_summary</x:v>
      </x:c>
      <x:c r="B15" s="12" t="n">
        <x:v>8</x:v>
      </x:c>
    </x:row>
    <x:row r="16" ht="22" customHeight="1">
      <x:c r="A16" s="12" t="str">
        <x:v>week13_weekly_plan</x:v>
      </x:c>
      <x:c r="B16" s="12" t="n">
        <x:v>7</x:v>
      </x:c>
    </x:row>
  </x:sheetData>
  <x:mergeCells>
    <x:mergeCell ref="A2:B2"/>
  </x:mergeCells>
  <x:pageMargins left="0.7" right="0.7" top="0.75" bottom="0.75" header="0.3" footer="0.3"/>
</x:worksheet>
</file>

<file path=xl/worksheets/sheet13.xml><?xml version="1.0" encoding="utf-8"?>
<x:worksheet xmlns:x="http://schemas.openxmlformats.org/spreadsheetml/2006/main">
  <x:sheetPr>
    <x:tabColor rgb="FFFFC000"/>
  </x:sheetPr>
  <x:sheetViews>
    <x:sheetView showGridLines="0" workbookViewId="0">
      <x:pane ySplit="5" topLeftCell="A6" activePane="bottomLeft" state="frozen"/>
    </x:sheetView>
  </x:sheetViews>
  <x:sheetFormatPr defaultRowHeight="15"/>
  <x:cols>
    <x:col min="1" max="1" width="36" hidden="0" customWidth="1"/>
    <x:col min="2" max="2" width="14" hidden="0" customWidth="1"/>
    <x:col min="3" max="3" width="26" hidden="0" customWidth="1"/>
    <x:col min="4" max="4" width="70" hidden="0" customWidth="1"/>
  </x:cols>
  <x:sheetData>
    <x:row r="1">
      <x:c r="D1" s="32"/>
    </x:row>
    <x:row r="2">
      <x:c r="A2" s="26" t="str">
        <x:v>第十三周质量验证</x:v>
      </x:c>
    </x:row>
    <x:row r="3">
      <x:c r="A3" s="3"/>
      <x:c r="B3" s="3"/>
      <x:c r="C3" s="3"/>
      <x:c r="D3" s="3"/>
    </x:row>
    <x:row r="5">
      <x:c r="A5" s="30" t="str">
        <x:v>检查项</x:v>
      </x:c>
      <x:c r="B5" s="30" t="str">
        <x:v>状态</x:v>
      </x:c>
      <x:c r="C5" s="30" t="str">
        <x:v>结果</x:v>
      </x:c>
      <x:c r="D5" s="30" t="str">
        <x:v>验收规则</x:v>
      </x:c>
    </x:row>
    <x:row r="6" ht="22" customHeight="1">
      <x:c r="A6" s="11" t="str">
        <x:v>入选公司数量</x:v>
      </x:c>
      <x:c r="B6" s="11" t="str">
        <x:v>PASS</x:v>
      </x:c>
      <x:c r="C6" s="11" t="str">
        <x:v>12</x:v>
      </x:c>
      <x:c r="D6" s="11" t="str">
        <x:v>第十二周P1队列中选择12家公司</x:v>
      </x:c>
    </x:row>
    <x:row r="7" ht="22" customHeight="1">
      <x:c r="A7" s="12" t="str">
        <x:v>页码化文本可读取</x:v>
      </x:c>
      <x:c r="B7" s="12" t="str">
        <x:v>PASS</x:v>
      </x:c>
      <x:c r="C7" s="12" t="str">
        <x:v>12</x:v>
      </x:c>
      <x:c r="D7" s="12" t="str">
        <x:v>12家公司均有页码标记</x:v>
      </x:c>
    </x:row>
    <x:row r="8" ht="22" customHeight="1">
      <x:c r="A8" s="12" t="str">
        <x:v>来源URL覆盖</x:v>
      </x:c>
      <x:c r="B8" s="12" t="str">
        <x:v>PASS</x:v>
      </x:c>
      <x:c r="C8" s="12" t="str">
        <x:v>12</x:v>
      </x:c>
      <x:c r="D8" s="12" t="str">
        <x:v>每家公司保留招股书URL</x:v>
      </x:c>
    </x:row>
    <x:row r="9" ht="22" customHeight="1">
      <x:c r="A9" s="12" t="str">
        <x:v>章节定位覆盖</x:v>
      </x:c>
      <x:c r="B9" s="12" t="str">
        <x:v>PASS</x:v>
      </x:c>
      <x:c r="C9" s="12" t="str">
        <x:v>12</x:v>
      </x:c>
      <x:c r="D9" s="12" t="str">
        <x:v>每家公司至少定位2类章节</x:v>
      </x:c>
    </x:row>
    <x:row r="10" ht="22" customHeight="1">
      <x:c r="A10" s="12" t="str">
        <x:v>Auto与Gold隔离</x:v>
      </x:c>
      <x:c r="B10" s="12" t="str">
        <x:v>PASS</x:v>
      </x:c>
      <x:c r="C10" s="12" t="str">
        <x:v>Gold/Final列为空</x:v>
      </x:c>
      <x:c r="D10" s="12" t="str">
        <x:v>主流程未读取Gold或Final，人工字段保持空值</x:v>
      </x:c>
    </x:row>
    <x:row r="11" ht="22" customHeight="1">
      <x:c r="A11" s="12" t="str">
        <x:v>转让系统误命中过滤</x:v>
      </x:c>
      <x:c r="B11" s="12" t="str">
        <x:v>PASS</x:v>
      </x:c>
      <x:c r="C11" s="12" t="str">
        <x:v>26</x:v>
      </x:c>
      <x:c r="D11" s="12" t="str">
        <x:v>公开转让/股转系统且无明确交易主体的页面不进入转让候选</x:v>
      </x:c>
    </x:row>
    <x:row r="12" ht="22" customHeight="1">
      <x:c r="A12" s="12" t="str">
        <x:v>10%人工复核队列</x:v>
      </x:c>
      <x:c r="B12" s="12" t="str">
        <x:v>PASS</x:v>
      </x:c>
      <x:c r="C12" s="12" t="str">
        <x:v>28</x:v>
      </x:c>
      <x:c r="D12" s="12" t="str">
        <x:v>优先抽取低/中置信和转让/备案候选</x:v>
      </x:c>
    </x:row>
    <x:row r="13" ht="22" customHeight="1">
      <x:c r="A13" s="12" t="str">
        <x:v>未披露留空</x:v>
      </x:c>
      <x:c r="B13" s="12" t="str">
        <x:v>PASS</x:v>
      </x:c>
      <x:c r="C13" s="12" t="str">
        <x:v>AMAC/GP/LP未自动补写</x:v>
      </x:c>
      <x:c r="D13" s="12" t="str">
        <x:v>只记录来源页和候选，不根据名称猜测深度字段</x:v>
      </x:c>
    </x:row>
  </x:sheetData>
  <x:mergeCells>
    <x:mergeCell ref="A2:D2"/>
  </x:mergeCells>
  <x:pageMargins left="0.7" right="0.7" top="0.75" bottom="0.75" header="0.3" footer="0.3"/>
</x:worksheet>
</file>

<file path=xl/worksheets/sheet14.xml><?xml version="1.0" encoding="utf-8"?>
<x:worksheet xmlns:x="http://schemas.openxmlformats.org/spreadsheetml/2006/main">
  <x:sheetPr>
    <x:tabColor rgb="FF9FBAD0"/>
  </x:sheetPr>
  <x:sheetViews>
    <x:sheetView showGridLines="0" workbookViewId="0">
      <x:pane ySplit="5" topLeftCell="A6" activePane="bottomLeft" state="frozen"/>
    </x:sheetView>
  </x:sheetViews>
  <x:sheetFormatPr defaultRowHeight="15"/>
  <x:cols>
    <x:col min="1" max="1" width="16" hidden="0" customWidth="1"/>
    <x:col min="2" max="2" width="28" hidden="0" customWidth="1"/>
    <x:col min="3" max="3" width="78" hidden="0" customWidth="1"/>
    <x:col min="4" max="4" width="42" hidden="0" customWidth="1"/>
    <x:col min="5" max="5" width="18" hidden="0" customWidth="1"/>
  </x:cols>
  <x:sheetData>
    <x:row r="1">
      <x:c r="C1" s="32"/>
      <x:c r="D1" s="32"/>
    </x:row>
    <x:row r="2">
      <x:c r="A2" s="26" t="str">
        <x:v>第十三周执行记录</x:v>
      </x:c>
    </x:row>
    <x:row r="3">
      <x:c r="A3" s="3"/>
      <x:c r="B3" s="3"/>
      <x:c r="C3" s="3"/>
      <x:c r="D3" s="3"/>
      <x:c r="E3" s="3"/>
    </x:row>
    <x:row r="5">
      <x:c r="A5" s="30" t="str">
        <x:v>日期</x:v>
      </x:c>
      <x:c r="B5" s="30" t="str">
        <x:v>任务</x:v>
      </x:c>
      <x:c r="C5" s="30" t="str">
        <x:v>操作</x:v>
      </x:c>
      <x:c r="D5" s="30" t="str">
        <x:v>产出</x:v>
      </x:c>
      <x:c r="E5" s="30" t="str">
        <x:v>状态</x:v>
      </x:c>
    </x:row>
    <x:row r="6" ht="42" customHeight="1">
      <x:c r="A6" s="11" t="str">
        <x:v>第1天</x:v>
      </x:c>
      <x:c r="B6" s="11" t="str">
        <x:v>确定首批扩样</x:v>
      </x:c>
      <x:c r="C6" s="11" t="str">
        <x:v>从第十二周P1队列按关键词命中数和文本完整性选取12家</x:v>
      </x:c>
      <x:c r="D6" s="11" t="str">
        <x:v>入选公司表与来源副本</x:v>
      </x:c>
      <x:c r="E6" s="11" t="str">
        <x:v>已完成</x:v>
      </x:c>
    </x:row>
    <x:row r="7" ht="42" customHeight="1">
      <x:c r="A7" s="12" t="str">
        <x:v>第2天</x:v>
      </x:c>
      <x:c r="B7" s="12" t="str">
        <x:v>章节定位</x:v>
      </x:c>
      <x:c r="C7" s="12" t="str">
        <x:v>按历史沿革、股东结构、特殊条款、基金备案四类规则定位页码</x:v>
      </x:c>
      <x:c r="D7" s="12" t="str">
        <x:v>章节定位表</x:v>
      </x:c>
      <x:c r="E7" s="12" t="str">
        <x:v>已完成</x:v>
      </x:c>
    </x:row>
    <x:row r="8" ht="42" customHeight="1">
      <x:c r="A8" s="12" t="str">
        <x:v>第3天</x:v>
      </x:c>
      <x:c r="B8" s="12" t="str">
        <x:v>事件候选抽取</x:v>
      </x:c>
      <x:c r="C8" s="12" t="str">
        <x:v>按增资、转让、快照、备案和特殊权利分类截取证据</x:v>
      </x:c>
      <x:c r="D8" s="12" t="str">
        <x:v>Auto证据候选表</x:v>
      </x:c>
      <x:c r="E8" s="12" t="str">
        <x:v>已完成</x:v>
      </x:c>
    </x:row>
    <x:row r="9" ht="42" customHeight="1">
      <x:c r="A9" s="12" t="str">
        <x:v>第4天</x:v>
      </x:c>
      <x:c r="B9" s="12" t="str">
        <x:v>投资主体分类</x:v>
      </x:c>
      <x:c r="C9" s="12" t="str">
        <x:v>生成investor_type候选，CVC和基金属性保留人工确认</x:v>
      </x:c>
      <x:c r="D9" s="12" t="str">
        <x:v>主体候选表与分类规则</x:v>
      </x:c>
      <x:c r="E9" s="12" t="str">
        <x:v>已完成</x:v>
      </x:c>
    </x:row>
    <x:row r="10" ht="42" customHeight="1">
      <x:c r="A10" s="12" t="str">
        <x:v>第5天</x:v>
      </x:c>
      <x:c r="B10" s="12" t="str">
        <x:v>交叉校验</x:v>
      </x:c>
      <x:c r="C10" s="12" t="str">
        <x:v>与第三周旧定位页比较，量化重合页和新增定位页</x:v>
      </x:c>
      <x:c r="D10" s="12" t="str">
        <x:v>旧新定位Cross-check</x:v>
      </x:c>
      <x:c r="E10" s="12" t="str">
        <x:v>已完成</x:v>
      </x:c>
    </x:row>
    <x:row r="11" ht="42" customHeight="1">
      <x:c r="A11" s="12" t="str">
        <x:v>第6天</x:v>
      </x:c>
      <x:c r="B11" s="12" t="str">
        <x:v>数据库验证</x:v>
      </x:c>
      <x:c r="C11" s="12" t="str">
        <x:v>把公司、定位、候选、主体和复核队列导入临时PostgreSQL</x:v>
      </x:c>
      <x:c r="D11" s="12" t="str">
        <x:v>表行数与查询披露</x:v>
      </x:c>
      <x:c r="E11" s="12" t="str">
        <x:v>待统一入口运行</x:v>
      </x:c>
    </x:row>
    <x:row r="12" ht="42" customHeight="1">
      <x:c r="A12" s="12" t="str">
        <x:v>第7天</x:v>
      </x:c>
      <x:c r="B12" s="12" t="str">
        <x:v>汇报整理</x:v>
      </x:c>
      <x:c r="C12" s="12" t="str">
        <x:v>生成Excel、Word、日志和提交清单</x:v>
      </x:c>
      <x:c r="D12" s="12" t="str">
        <x:v>第十三周提交包</x:v>
      </x:c>
      <x:c r="E12" s="12" t="str">
        <x:v>待统一入口运行</x:v>
      </x:c>
    </x:row>
  </x:sheetData>
  <x:mergeCells>
    <x:mergeCell ref="A2:E2"/>
  </x:mergeCells>
  <x:pageMargins left="0.7" right="0.7" top="0.75" bottom="0.75" header="0.3" footer="0.3"/>
</x:worksheet>
</file>